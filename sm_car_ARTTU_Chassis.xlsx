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ndrei/Desktop/FSAE/Vehicle Model/Main/Develop/"/>
    </mc:Choice>
  </mc:AlternateContent>
  <xr:revisionPtr revIDLastSave="0" documentId="13_ncr:1_{D09F2C91-A5A8-AA4A-A32A-8EAD4004D1F4}" xr6:coauthVersionLast="47" xr6:coauthVersionMax="47" xr10:uidLastSave="{00000000-0000-0000-0000-000000000000}"/>
  <bookViews>
    <workbookView xWindow="1320" yWindow="980" windowWidth="20480" windowHeight="19540" firstSheet="5" activeTab="14" xr2:uid="{00000000-000D-0000-FFFF-FFFF00000000}"/>
  </bookViews>
  <sheets>
    <sheet name="Body" sheetId="1" r:id="rId1"/>
    <sheet name="Sheet1" sheetId="17" r:id="rId2"/>
    <sheet name="SuspA1" sheetId="2" r:id="rId3"/>
    <sheet name="LinkageFront" sheetId="15" r:id="rId4"/>
    <sheet name="ARBFront" sheetId="3" r:id="rId5"/>
    <sheet name="Steer" sheetId="4" r:id="rId6"/>
    <sheet name="SuspA2" sheetId="5" r:id="rId7"/>
    <sheet name="LinkageRear" sheetId="16" r:id="rId8"/>
    <sheet name="ARBRear" sheetId="6" r:id="rId9"/>
    <sheet name="Aero" sheetId="7" r:id="rId10"/>
    <sheet name="Spring" sheetId="8" r:id="rId11"/>
    <sheet name="Damper" sheetId="9" r:id="rId12"/>
    <sheet name="Tire" sheetId="14" r:id="rId13"/>
    <sheet name="HardpointsFr" sheetId="10" r:id="rId14"/>
    <sheet name="HardpointsRr" sheetId="11" r:id="rId1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6" l="1" a="1"/>
  <c r="C34" i="16"/>
  <c r="C33" i="16" a="1"/>
  <c r="C33" i="16"/>
  <c r="C31" i="16" a="1"/>
  <c r="C31" i="16"/>
  <c r="C30" i="16" a="1"/>
  <c r="C30" i="16"/>
  <c r="C25" i="16" a="1"/>
  <c r="C25" i="16"/>
  <c r="C24" i="16" a="1"/>
  <c r="C24" i="16"/>
  <c r="C22" i="16" a="1"/>
  <c r="C22" i="16"/>
  <c r="C21" i="16" a="1"/>
  <c r="C21" i="16"/>
  <c r="C14" i="16" a="1"/>
  <c r="C14" i="16"/>
  <c r="C13" i="16" a="1"/>
  <c r="C13" i="16"/>
  <c r="C11" i="16" a="1"/>
  <c r="C11" i="16"/>
  <c r="C10" i="16" a="1"/>
  <c r="C10" i="16"/>
  <c r="C9" i="16" a="1"/>
  <c r="C9" i="16"/>
  <c r="C7" i="16" a="1"/>
  <c r="C7" i="16"/>
  <c r="C6" i="16" a="1"/>
  <c r="C6" i="16"/>
  <c r="C5" i="16" a="1"/>
  <c r="C5" i="16"/>
  <c r="C34" i="15" a="1"/>
  <c r="C34" i="15"/>
  <c r="C33" i="15" a="1"/>
  <c r="C33" i="15"/>
  <c r="C31" i="15" a="1"/>
  <c r="C31" i="15"/>
  <c r="C30" i="15" a="1"/>
  <c r="C30" i="15"/>
  <c r="C25" i="15" a="1"/>
  <c r="C25" i="15"/>
  <c r="C24" i="15" a="1"/>
  <c r="C24" i="15"/>
  <c r="C22" i="15" a="1"/>
  <c r="C22" i="15"/>
  <c r="C21" i="15" a="1"/>
  <c r="C21" i="15"/>
  <c r="C14" i="15" a="1"/>
  <c r="C14" i="15"/>
  <c r="C13" i="15" a="1"/>
  <c r="C13" i="15"/>
  <c r="C11" i="15" a="1"/>
  <c r="C11" i="15"/>
  <c r="C10" i="15" a="1"/>
  <c r="C10" i="15"/>
  <c r="C9" i="15" a="1"/>
  <c r="C9" i="15"/>
  <c r="C7" i="15" a="1"/>
  <c r="C7" i="15"/>
  <c r="C6" i="15" a="1"/>
  <c r="C6" i="15"/>
  <c r="C5" i="15"/>
  <c r="C6" i="6" a="1"/>
  <c r="C6" i="6"/>
  <c r="C9" i="4"/>
  <c r="C5" i="4"/>
  <c r="C7" i="3"/>
  <c r="C6" i="3"/>
  <c r="C7" i="6" a="1"/>
  <c r="C7" i="6"/>
  <c r="C5" i="6" a="1"/>
  <c r="C5" i="6"/>
  <c r="C8" i="3" a="1"/>
  <c r="C8" i="3"/>
  <c r="C13" i="1" a="1"/>
  <c r="C13" i="1"/>
  <c r="C12" i="1" a="1"/>
  <c r="C12" i="1"/>
  <c r="C11" i="1" a="1"/>
  <c r="C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<sst xmlns="http://schemas.openxmlformats.org/spreadsheetml/2006/main" count="512" uniqueCount="158">
  <si>
    <t>Category</t>
  </si>
  <si>
    <t>Value</t>
  </si>
  <si>
    <t>Unit</t>
  </si>
  <si>
    <t>Comment</t>
  </si>
  <si>
    <t>Type</t>
  </si>
  <si>
    <t>Body</t>
  </si>
  <si>
    <t>Instance</t>
  </si>
  <si>
    <t>FSAE_Achilles</t>
  </si>
  <si>
    <t>class</t>
  </si>
  <si>
    <t>Body_Axle2</t>
  </si>
  <si>
    <t>sAxle1</t>
  </si>
  <si>
    <t>[0 0 0]</t>
  </si>
  <si>
    <t>m</t>
  </si>
  <si>
    <t>X, Y, Z coordinates ( DO NOT CHANGE )</t>
  </si>
  <si>
    <t>sAxle2</t>
  </si>
  <si>
    <t>[-1,575 0 0]</t>
  </si>
  <si>
    <t xml:space="preserve">X, Y, Z coordinates </t>
  </si>
  <si>
    <t>sCG</t>
  </si>
  <si>
    <t>[-0,8741 0 0,35]</t>
  </si>
  <si>
    <t>sPower</t>
  </si>
  <si>
    <t>[-1 0 0]</t>
  </si>
  <si>
    <t>model value only</t>
  </si>
  <si>
    <t>sHitchF</t>
  </si>
  <si>
    <t>[0.25 0 0.403]</t>
  </si>
  <si>
    <t>sHitchR</t>
  </si>
  <si>
    <t>[-1.75 0 0.403]</t>
  </si>
  <si>
    <t>Width</t>
  </si>
  <si>
    <t>taken as front + rear track / 2</t>
  </si>
  <si>
    <t>TrackFront</t>
  </si>
  <si>
    <t>TrackRear</t>
  </si>
  <si>
    <t>Kg</t>
  </si>
  <si>
    <t>Chassis + Bodywork + Electrical + Motors + Gearbox</t>
  </si>
  <si>
    <t>J</t>
  </si>
  <si>
    <t>[43 192 206]</t>
  </si>
  <si>
    <t>kg*m^2</t>
  </si>
  <si>
    <t>Moments of Inertia [Ixx Iyy Izz]</t>
  </si>
  <si>
    <t>Element</t>
  </si>
  <si>
    <t>Linkage</t>
  </si>
  <si>
    <t>DoubleWishbonePushrod_FSAE_Achilles_f</t>
  </si>
  <si>
    <t>DoubleWishbone Pushrod</t>
  </si>
  <si>
    <t>LowerWishbone</t>
  </si>
  <si>
    <t>sInboardF</t>
  </si>
  <si>
    <t>Hardpoint X, Y, Z coordinates ( DO NOT CHANGE HERE )</t>
  </si>
  <si>
    <t>sInboardR</t>
  </si>
  <si>
    <t>sOutboard</t>
  </si>
  <si>
    <t>UpperWishbone</t>
  </si>
  <si>
    <t>Upright</t>
  </si>
  <si>
    <t>sWheelCenter</t>
  </si>
  <si>
    <t>aToe</t>
  </si>
  <si>
    <t>deg</t>
  </si>
  <si>
    <t>aCamber</t>
  </si>
  <si>
    <t>xAxle</t>
  </si>
  <si>
    <t>xWCtoBearing</t>
  </si>
  <si>
    <t>mAxle</t>
  </si>
  <si>
    <t>sInboard</t>
  </si>
  <si>
    <t>Shock</t>
  </si>
  <si>
    <t>sTop</t>
  </si>
  <si>
    <t>sBottom</t>
  </si>
  <si>
    <t>Endstop</t>
  </si>
  <si>
    <t>xMax</t>
  </si>
  <si>
    <t>xMin</t>
  </si>
  <si>
    <t>Pushrod</t>
  </si>
  <si>
    <t>Bellcrank</t>
  </si>
  <si>
    <t>sPivot</t>
  </si>
  <si>
    <t>sAntiRollBar</t>
  </si>
  <si>
    <t>AntiRollBar</t>
  </si>
  <si>
    <t>ARBFront</t>
  </si>
  <si>
    <t>SHEET</t>
  </si>
  <si>
    <t>Steer</t>
  </si>
  <si>
    <t>Droplink_FSAE_Achilles_f</t>
  </si>
  <si>
    <t>DroplinkRod</t>
  </si>
  <si>
    <t>sSuspension</t>
  </si>
  <si>
    <t>k</t>
  </si>
  <si>
    <t>N/rad</t>
  </si>
  <si>
    <t>WheelDrivenRack1UJoint_Ch2_Achilles</t>
  </si>
  <si>
    <t>WheelDrivenRack1UJoint</t>
  </si>
  <si>
    <t>Rack</t>
  </si>
  <si>
    <t>sMount</t>
  </si>
  <si>
    <t>fActuatorCutoff</t>
  </si>
  <si>
    <t>Hz</t>
  </si>
  <si>
    <t>Wheel</t>
  </si>
  <si>
    <t>ARBRear</t>
  </si>
  <si>
    <t>M</t>
  </si>
  <si>
    <t>Aero</t>
  </si>
  <si>
    <t>sedan</t>
  </si>
  <si>
    <t>CL</t>
  </si>
  <si>
    <t>CD</t>
  </si>
  <si>
    <t>rho_air</t>
  </si>
  <si>
    <t>Kg/m^3</t>
  </si>
  <si>
    <t>m^2</t>
  </si>
  <si>
    <t>sPressureCentre</t>
  </si>
  <si>
    <t>[-0.8 0 0.26]</t>
  </si>
  <si>
    <t>Spring</t>
  </si>
  <si>
    <t>Independent</t>
  </si>
  <si>
    <t>Axle1</t>
  </si>
  <si>
    <t>Linear</t>
  </si>
  <si>
    <t>K</t>
  </si>
  <si>
    <t>N/m</t>
  </si>
  <si>
    <t>Axle2</t>
  </si>
  <si>
    <t>Damping</t>
  </si>
  <si>
    <t>KxMax</t>
  </si>
  <si>
    <t>KxMin</t>
  </si>
  <si>
    <t>dxMin</t>
  </si>
  <si>
    <t>dxMax</t>
  </si>
  <si>
    <t>xTransition</t>
  </si>
  <si>
    <t>Tire</t>
  </si>
  <si>
    <t>MFMbody_Hoosier</t>
  </si>
  <si>
    <t>MFMbody</t>
  </si>
  <si>
    <t>tirFile</t>
  </si>
  <si>
    <t>fileName</t>
  </si>
  <si>
    <t>tir file name</t>
  </si>
  <si>
    <t>Mass</t>
  </si>
  <si>
    <t>Inertia</t>
  </si>
  <si>
    <t>[1 2]</t>
  </si>
  <si>
    <t>Kg*m^2</t>
  </si>
  <si>
    <t>roadFile</t>
  </si>
  <si>
    <t>which(''TNO_FlatRoad.rdf'')'</t>
  </si>
  <si>
    <t>CornerringStiffness</t>
  </si>
  <si>
    <t>fContactPoint</t>
  </si>
  <si>
    <t>sec</t>
  </si>
  <si>
    <t>Break algebraic loop between tire center position and contact point position and orientation</t>
  </si>
  <si>
    <t>TireBody</t>
  </si>
  <si>
    <t>sOffset</t>
  </si>
  <si>
    <t>Name</t>
  </si>
  <si>
    <t>X</t>
  </si>
  <si>
    <t>Y</t>
  </si>
  <si>
    <t>Z</t>
  </si>
  <si>
    <t>LowerWishbone  Front Pickup</t>
  </si>
  <si>
    <t>LowerWishbone Rear Pickup</t>
  </si>
  <si>
    <t>LowerWishbone Outboard</t>
  </si>
  <si>
    <t>UpperWishbone Front Pickup</t>
  </si>
  <si>
    <t>UpperWishbone Rear Pickup</t>
  </si>
  <si>
    <t>UpperWishbone Outboard</t>
  </si>
  <si>
    <t>Upright CoG</t>
  </si>
  <si>
    <t>Wheel Center</t>
  </si>
  <si>
    <t>trackrod Inboard</t>
  </si>
  <si>
    <t>trackrod Outboard</t>
  </si>
  <si>
    <t>Shock Chassis Mount</t>
  </si>
  <si>
    <t>Shock Bottom</t>
  </si>
  <si>
    <t>Pushrod Outboard</t>
  </si>
  <si>
    <t>Pushrod Inboard</t>
  </si>
  <si>
    <t>BC Pivot</t>
  </si>
  <si>
    <t>ARB Cantilever Start</t>
  </si>
  <si>
    <t>ARB Cantilever End</t>
  </si>
  <si>
    <t>ARB to Bellcrank</t>
  </si>
  <si>
    <t>Steer Rack</t>
  </si>
  <si>
    <t>Steer Wheel</t>
  </si>
  <si>
    <t>LinkageFront</t>
  </si>
  <si>
    <t>DoubleWishbone Pushrod NoSteer</t>
  </si>
  <si>
    <t>LinkageRear</t>
  </si>
  <si>
    <t>TrackRod</t>
  </si>
  <si>
    <t>which(''Hoosier_20p5x7_13_R20.tir'')</t>
  </si>
  <si>
    <t>xPreload</t>
  </si>
  <si>
    <t>ARef</t>
  </si>
  <si>
    <t>mPiston</t>
  </si>
  <si>
    <t>mCylinder</t>
  </si>
  <si>
    <t>Parameterized</t>
  </si>
  <si>
    <t>= RC[3] + 1575.00000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</si>
</sst>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#,##0.0000"/>
  </numFmts>
  <fonts count="5" x14ac:knownFonts="1">
    <font>
      <sz val="11"/>
      <color indexed="8"/>
      <name val="Calibri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8"/>
        <bgColor auto="1"/>
      </patternFill>
    </fill>
    <fill>
      <patternFill patternType="solid">
        <fgColor rgb="FFBDD6EE"/>
        <bgColor rgb="FF000000"/>
      </patternFill>
    </fill>
    <fill>
      <patternFill patternType="solid">
        <fgColor rgb="FF9DC2E6"/>
        <bgColor indexed="64"/>
      </patternFill>
    </fill>
    <fill>
      <patternFill patternType="solid">
        <fgColor theme="4" tint="0.79998168889431442"/>
        <bgColor indexed="64"/>
      </patternFill>
    </fill>
  </fills>
  <borders count="72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7"/>
      </bottom>
      <diagonal/>
    </border>
    <border>
      <left style="thin">
        <color indexed="16"/>
      </left>
      <right style="thin">
        <color indexed="17"/>
      </right>
      <top style="thin">
        <color indexed="17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7"/>
      </top>
      <bottom style="thin">
        <color indexed="16"/>
      </bottom>
      <diagonal/>
    </border>
    <border>
      <left style="thin">
        <color indexed="16"/>
      </left>
      <right style="thin">
        <color indexed="17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rgb="FF000000"/>
      </left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rgb="FF000000"/>
      </left>
      <right/>
      <top style="medium">
        <color indexed="8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medium">
        <color rgb="FF000000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rgb="FF000000"/>
      </right>
      <top style="medium">
        <color indexed="8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8"/>
      </left>
      <right style="medium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8"/>
      </left>
      <right style="medium">
        <color rgb="FF000000"/>
      </right>
      <top/>
      <bottom style="thin">
        <color indexed="8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8"/>
      </bottom>
      <diagonal/>
    </border>
    <border>
      <left style="thin">
        <color rgb="FF000000"/>
      </left>
      <right style="medium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8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8"/>
      </left>
      <right style="medium">
        <color rgb="FF000000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rgb="FF000000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rgb="FF000000"/>
      </right>
      <top/>
      <bottom style="medium">
        <color indexed="8"/>
      </bottom>
      <diagonal/>
    </border>
    <border>
      <left style="thin">
        <color indexed="8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rgb="FF000000"/>
      </right>
      <top style="medium">
        <color indexed="8"/>
      </top>
      <bottom/>
      <diagonal/>
    </border>
    <border>
      <left style="medium">
        <color indexed="8"/>
      </left>
      <right style="thin">
        <color rgb="FF000000"/>
      </right>
      <top/>
      <bottom/>
      <diagonal/>
    </border>
    <border>
      <left style="medium">
        <color indexed="8"/>
      </left>
      <right style="thin">
        <color rgb="FF000000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slantDashDot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slantDashDot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58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0" fillId="4" borderId="5" xfId="0" applyNumberFormat="1" applyFill="1" applyBorder="1" applyAlignment="1">
      <alignment horizontal="center" vertical="center"/>
    </xf>
    <xf numFmtId="49" fontId="0" fillId="4" borderId="5" xfId="0" applyNumberFormat="1" applyFill="1" applyBorder="1" applyAlignment="1">
      <alignment horizontal="center"/>
    </xf>
    <xf numFmtId="49" fontId="0" fillId="4" borderId="6" xfId="0" applyNumberFormat="1" applyFill="1" applyBorder="1" applyAlignment="1">
      <alignment horizontal="center"/>
    </xf>
    <xf numFmtId="49" fontId="0" fillId="4" borderId="8" xfId="0" applyNumberFormat="1" applyFill="1" applyBorder="1" applyAlignment="1">
      <alignment horizontal="center" vertical="center"/>
    </xf>
    <xf numFmtId="49" fontId="0" fillId="5" borderId="8" xfId="0" applyNumberFormat="1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49" fontId="0" fillId="4" borderId="9" xfId="0" applyNumberForma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49" fontId="0" fillId="4" borderId="11" xfId="0" applyNumberFormat="1" applyFill="1" applyBorder="1" applyAlignment="1">
      <alignment horizontal="center" vertical="center"/>
    </xf>
    <xf numFmtId="0" fontId="0" fillId="5" borderId="11" xfId="0" applyNumberFormat="1" applyFill="1" applyBorder="1" applyAlignment="1">
      <alignment horizontal="center"/>
    </xf>
    <xf numFmtId="49" fontId="0" fillId="4" borderId="11" xfId="0" applyNumberFormat="1" applyFill="1" applyBorder="1" applyAlignment="1">
      <alignment horizontal="center"/>
    </xf>
    <xf numFmtId="49" fontId="0" fillId="4" borderId="12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8" xfId="0" applyNumberForma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5" xfId="0" applyNumberFormat="1" applyFill="1" applyBorder="1" applyAlignment="1">
      <alignment horizontal="center"/>
    </xf>
    <xf numFmtId="3" fontId="0" fillId="5" borderId="8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65" fontId="0" fillId="5" borderId="8" xfId="0" applyNumberFormat="1" applyFill="1" applyBorder="1" applyAlignment="1">
      <alignment horizontal="center"/>
    </xf>
    <xf numFmtId="49" fontId="0" fillId="5" borderId="11" xfId="0" applyNumberFormat="1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49" fontId="2" fillId="8" borderId="16" xfId="0" applyNumberFormat="1" applyFont="1" applyFill="1" applyBorder="1" applyAlignment="1">
      <alignment horizontal="center" vertical="center"/>
    </xf>
    <xf numFmtId="49" fontId="2" fillId="9" borderId="17" xfId="0" applyNumberFormat="1" applyFont="1" applyFill="1" applyBorder="1" applyAlignment="1">
      <alignment horizontal="center" vertical="center"/>
    </xf>
    <xf numFmtId="164" fontId="0" fillId="6" borderId="18" xfId="0" applyNumberFormat="1" applyFill="1" applyBorder="1" applyAlignment="1">
      <alignment horizontal="center" vertical="center"/>
    </xf>
    <xf numFmtId="164" fontId="0" fillId="6" borderId="19" xfId="0" applyNumberFormat="1" applyFill="1" applyBorder="1" applyAlignment="1">
      <alignment horizontal="center" vertical="center"/>
    </xf>
    <xf numFmtId="49" fontId="2" fillId="9" borderId="20" xfId="0" applyNumberFormat="1" applyFont="1" applyFill="1" applyBorder="1" applyAlignment="1">
      <alignment horizontal="center" vertical="center"/>
    </xf>
    <xf numFmtId="164" fontId="0" fillId="6" borderId="21" xfId="0" applyNumberFormat="1" applyFill="1" applyBorder="1" applyAlignment="1">
      <alignment horizontal="center" vertical="center"/>
    </xf>
    <xf numFmtId="164" fontId="0" fillId="6" borderId="22" xfId="0" applyNumberFormat="1" applyFill="1" applyBorder="1" applyAlignment="1">
      <alignment horizontal="center" vertical="center"/>
    </xf>
    <xf numFmtId="0" fontId="0" fillId="5" borderId="23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49" fontId="0" fillId="4" borderId="26" xfId="0" applyNumberFormat="1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49" fontId="0" fillId="4" borderId="25" xfId="0" applyNumberFormat="1" applyFill="1" applyBorder="1" applyAlignment="1">
      <alignment horizontal="center"/>
    </xf>
    <xf numFmtId="49" fontId="0" fillId="4" borderId="29" xfId="0" applyNumberFormat="1" applyFill="1" applyBorder="1" applyAlignment="1">
      <alignment horizontal="center"/>
    </xf>
    <xf numFmtId="49" fontId="0" fillId="4" borderId="30" xfId="0" applyNumberFormat="1" applyFill="1" applyBorder="1" applyAlignment="1">
      <alignment horizontal="center"/>
    </xf>
    <xf numFmtId="49" fontId="0" fillId="4" borderId="31" xfId="0" applyNumberFormat="1" applyFill="1" applyBorder="1" applyAlignment="1">
      <alignment horizontal="center"/>
    </xf>
    <xf numFmtId="49" fontId="0" fillId="4" borderId="32" xfId="0" applyNumberFormat="1" applyFill="1" applyBorder="1" applyAlignment="1">
      <alignment horizontal="center"/>
    </xf>
    <xf numFmtId="49" fontId="0" fillId="4" borderId="33" xfId="0" applyNumberFormat="1" applyFill="1" applyBorder="1" applyAlignment="1">
      <alignment horizontal="center"/>
    </xf>
    <xf numFmtId="0" fontId="0" fillId="5" borderId="25" xfId="0" applyFill="1" applyBorder="1" applyAlignment="1">
      <alignment horizontal="center"/>
    </xf>
    <xf numFmtId="0" fontId="0" fillId="5" borderId="30" xfId="0" applyNumberFormat="1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49" fontId="0" fillId="4" borderId="34" xfId="0" applyNumberFormat="1" applyFill="1" applyBorder="1" applyAlignment="1">
      <alignment horizontal="center"/>
    </xf>
    <xf numFmtId="49" fontId="0" fillId="4" borderId="35" xfId="0" applyNumberFormat="1" applyFill="1" applyBorder="1" applyAlignment="1">
      <alignment horizontal="center"/>
    </xf>
    <xf numFmtId="49" fontId="0" fillId="4" borderId="36" xfId="0" applyNumberFormat="1" applyFill="1" applyBorder="1" applyAlignment="1">
      <alignment horizontal="center"/>
    </xf>
    <xf numFmtId="49" fontId="0" fillId="4" borderId="37" xfId="0" applyNumberFormat="1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49" fontId="0" fillId="4" borderId="39" xfId="0" applyNumberFormat="1" applyFill="1" applyBorder="1" applyAlignment="1">
      <alignment horizontal="center"/>
    </xf>
    <xf numFmtId="49" fontId="0" fillId="4" borderId="40" xfId="0" applyNumberFormat="1" applyFill="1" applyBorder="1" applyAlignment="1">
      <alignment horizontal="center"/>
    </xf>
    <xf numFmtId="49" fontId="0" fillId="4" borderId="41" xfId="0" applyNumberFormat="1" applyFill="1" applyBorder="1" applyAlignment="1">
      <alignment horizontal="center"/>
    </xf>
    <xf numFmtId="49" fontId="0" fillId="4" borderId="42" xfId="0" applyNumberFormat="1" applyFill="1" applyBorder="1" applyAlignment="1">
      <alignment horizontal="center"/>
    </xf>
    <xf numFmtId="49" fontId="0" fillId="4" borderId="43" xfId="0" applyNumberFormat="1" applyFill="1" applyBorder="1" applyAlignment="1">
      <alignment horizontal="center"/>
    </xf>
    <xf numFmtId="49" fontId="0" fillId="4" borderId="44" xfId="0" applyNumberFormat="1" applyFill="1" applyBorder="1" applyAlignment="1">
      <alignment horizontal="center"/>
    </xf>
    <xf numFmtId="49" fontId="0" fillId="4" borderId="45" xfId="0" applyNumberFormat="1" applyFill="1" applyBorder="1" applyAlignment="1">
      <alignment horizontal="center"/>
    </xf>
    <xf numFmtId="49" fontId="0" fillId="4" borderId="46" xfId="0" applyNumberFormat="1" applyFill="1" applyBorder="1" applyAlignment="1">
      <alignment horizontal="center"/>
    </xf>
    <xf numFmtId="49" fontId="0" fillId="4" borderId="47" xfId="0" applyNumberFormat="1" applyFill="1" applyBorder="1" applyAlignment="1">
      <alignment horizontal="center"/>
    </xf>
    <xf numFmtId="0" fontId="0" fillId="4" borderId="48" xfId="0" applyFill="1" applyBorder="1" applyAlignment="1">
      <alignment horizontal="center"/>
    </xf>
    <xf numFmtId="49" fontId="0" fillId="4" borderId="49" xfId="0" applyNumberFormat="1" applyFill="1" applyBorder="1" applyAlignment="1">
      <alignment horizontal="center"/>
    </xf>
    <xf numFmtId="49" fontId="0" fillId="4" borderId="50" xfId="0" applyNumberFormat="1" applyFill="1" applyBorder="1" applyAlignment="1">
      <alignment horizontal="center"/>
    </xf>
    <xf numFmtId="49" fontId="0" fillId="4" borderId="51" xfId="0" applyNumberFormat="1" applyFill="1" applyBorder="1" applyAlignment="1">
      <alignment horizontal="center"/>
    </xf>
    <xf numFmtId="49" fontId="0" fillId="4" borderId="52" xfId="0" applyNumberFormat="1" applyFill="1" applyBorder="1" applyAlignment="1">
      <alignment horizontal="center"/>
    </xf>
    <xf numFmtId="49" fontId="0" fillId="4" borderId="53" xfId="0" applyNumberFormat="1" applyFill="1" applyBorder="1" applyAlignment="1">
      <alignment horizontal="center"/>
    </xf>
    <xf numFmtId="49" fontId="0" fillId="4" borderId="54" xfId="0" applyNumberFormat="1" applyFill="1" applyBorder="1" applyAlignment="1">
      <alignment horizontal="center"/>
    </xf>
    <xf numFmtId="49" fontId="0" fillId="4" borderId="55" xfId="0" applyNumberFormat="1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49" fontId="0" fillId="4" borderId="56" xfId="0" applyNumberFormat="1" applyFill="1" applyBorder="1" applyAlignment="1">
      <alignment horizontal="center"/>
    </xf>
    <xf numFmtId="49" fontId="0" fillId="4" borderId="57" xfId="0" applyNumberFormat="1" applyFill="1" applyBorder="1" applyAlignment="1">
      <alignment horizontal="center"/>
    </xf>
    <xf numFmtId="49" fontId="3" fillId="4" borderId="5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/>
    </xf>
    <xf numFmtId="49" fontId="3" fillId="5" borderId="5" xfId="0" applyNumberFormat="1" applyFont="1" applyFill="1" applyBorder="1" applyAlignment="1">
      <alignment horizontal="center"/>
    </xf>
    <xf numFmtId="49" fontId="3" fillId="4" borderId="11" xfId="0" applyNumberFormat="1" applyFont="1" applyFill="1" applyBorder="1" applyAlignment="1">
      <alignment horizontal="center" vertical="center"/>
    </xf>
    <xf numFmtId="49" fontId="3" fillId="4" borderId="59" xfId="0" applyNumberFormat="1" applyFont="1" applyFill="1" applyBorder="1" applyAlignment="1">
      <alignment horizontal="center" vertical="center"/>
    </xf>
    <xf numFmtId="49" fontId="0" fillId="4" borderId="59" xfId="0" applyNumberFormat="1" applyFill="1" applyBorder="1" applyAlignment="1">
      <alignment horizontal="center"/>
    </xf>
    <xf numFmtId="0" fontId="0" fillId="5" borderId="59" xfId="0" applyNumberFormat="1" applyFill="1" applyBorder="1" applyAlignment="1">
      <alignment horizontal="center"/>
    </xf>
    <xf numFmtId="49" fontId="0" fillId="4" borderId="60" xfId="0" applyNumberForma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0" fontId="3" fillId="5" borderId="11" xfId="0" applyNumberFormat="1" applyFont="1" applyFill="1" applyBorder="1" applyAlignment="1">
      <alignment horizontal="center"/>
    </xf>
    <xf numFmtId="49" fontId="3" fillId="4" borderId="8" xfId="0" applyNumberFormat="1" applyFont="1" applyFill="1" applyBorder="1" applyAlignment="1">
      <alignment horizontal="center"/>
    </xf>
    <xf numFmtId="49" fontId="3" fillId="4" borderId="11" xfId="0" applyNumberFormat="1" applyFont="1" applyFill="1" applyBorder="1" applyAlignment="1">
      <alignment horizontal="center"/>
    </xf>
    <xf numFmtId="49" fontId="4" fillId="10" borderId="24" xfId="0" applyNumberFormat="1" applyFont="1" applyFill="1" applyBorder="1" applyAlignment="1">
      <alignment horizontal="center" vertical="center"/>
    </xf>
    <xf numFmtId="49" fontId="4" fillId="10" borderId="61" xfId="0" applyNumberFormat="1" applyFont="1" applyFill="1" applyBorder="1" applyAlignment="1">
      <alignment horizontal="center" vertical="center"/>
    </xf>
    <xf numFmtId="49" fontId="4" fillId="10" borderId="62" xfId="0" applyNumberFormat="1" applyFont="1" applyFill="1" applyBorder="1" applyAlignment="1">
      <alignment horizontal="center" vertical="center"/>
    </xf>
    <xf numFmtId="49" fontId="3" fillId="4" borderId="27" xfId="0" applyNumberFormat="1" applyFont="1" applyFill="1" applyBorder="1" applyAlignment="1">
      <alignment horizontal="center"/>
    </xf>
    <xf numFmtId="49" fontId="2" fillId="7" borderId="13" xfId="0" applyNumberFormat="1" applyFont="1" applyFill="1" applyBorder="1" applyAlignment="1">
      <alignment horizontal="center" vertical="center" wrapText="1"/>
    </xf>
    <xf numFmtId="49" fontId="3" fillId="4" borderId="25" xfId="0" applyNumberFormat="1" applyFont="1" applyFill="1" applyBorder="1" applyAlignment="1">
      <alignment horizontal="center" vertical="center"/>
    </xf>
    <xf numFmtId="49" fontId="0" fillId="4" borderId="23" xfId="0" applyNumberFormat="1" applyFill="1" applyBorder="1" applyAlignment="1">
      <alignment horizontal="center" vertical="center"/>
    </xf>
    <xf numFmtId="0" fontId="0" fillId="5" borderId="23" xfId="0" applyNumberFormat="1" applyFill="1" applyBorder="1" applyAlignment="1">
      <alignment horizontal="center"/>
    </xf>
    <xf numFmtId="49" fontId="0" fillId="4" borderId="23" xfId="0" applyNumberFormat="1" applyFill="1" applyBorder="1" applyAlignment="1">
      <alignment horizontal="center"/>
    </xf>
    <xf numFmtId="0" fontId="0" fillId="4" borderId="67" xfId="0" applyFill="1" applyBorder="1" applyAlignment="1">
      <alignment horizontal="center"/>
    </xf>
    <xf numFmtId="2" fontId="0" fillId="5" borderId="23" xfId="0" applyNumberFormat="1" applyFill="1" applyBorder="1" applyAlignment="1">
      <alignment horizontal="center"/>
    </xf>
    <xf numFmtId="0" fontId="3" fillId="5" borderId="5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49" fontId="4" fillId="10" borderId="24" xfId="0" applyNumberFormat="1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center"/>
    </xf>
    <xf numFmtId="49" fontId="3" fillId="4" borderId="5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5" borderId="5" xfId="0" quotePrefix="1" applyFont="1" applyFill="1" applyBorder="1" applyAlignment="1">
      <alignment horizontal="center"/>
    </xf>
    <xf numFmtId="49" fontId="3" fillId="4" borderId="27" xfId="0" applyNumberFormat="1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/>
    </xf>
    <xf numFmtId="49" fontId="3" fillId="4" borderId="69" xfId="0" applyNumberFormat="1" applyFont="1" applyFill="1" applyBorder="1" applyAlignment="1">
      <alignment horizontal="center" vertical="center"/>
    </xf>
    <xf numFmtId="0" fontId="3" fillId="5" borderId="69" xfId="0" applyFont="1" applyFill="1" applyBorder="1" applyAlignment="1">
      <alignment horizontal="center"/>
    </xf>
    <xf numFmtId="49" fontId="3" fillId="4" borderId="69" xfId="0" applyNumberFormat="1" applyFont="1" applyFill="1" applyBorder="1" applyAlignment="1">
      <alignment horizontal="center"/>
    </xf>
    <xf numFmtId="0" fontId="0" fillId="4" borderId="68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49" fontId="0" fillId="4" borderId="36" xfId="0" applyNumberFormat="1" applyFill="1" applyBorder="1" applyAlignment="1">
      <alignment horizontal="center" vertical="center"/>
    </xf>
    <xf numFmtId="0" fontId="0" fillId="4" borderId="70" xfId="0" applyFill="1" applyBorder="1" applyAlignment="1">
      <alignment horizontal="center"/>
    </xf>
    <xf numFmtId="49" fontId="3" fillId="5" borderId="36" xfId="0" applyNumberFormat="1" applyFont="1" applyFill="1" applyBorder="1" applyAlignment="1">
      <alignment horizontal="center"/>
    </xf>
    <xf numFmtId="49" fontId="3" fillId="4" borderId="36" xfId="0" applyNumberFormat="1" applyFont="1" applyFill="1" applyBorder="1" applyAlignment="1">
      <alignment horizontal="center"/>
    </xf>
    <xf numFmtId="0" fontId="0" fillId="4" borderId="71" xfId="0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7" borderId="4" xfId="0" applyNumberFormat="1" applyFont="1" applyFill="1" applyBorder="1" applyAlignment="1">
      <alignment horizontal="center" vertical="center" wrapText="1"/>
    </xf>
    <xf numFmtId="49" fontId="3" fillId="5" borderId="5" xfId="0" quotePrefix="1" applyNumberFormat="1" applyFont="1" applyFill="1" applyBorder="1" applyAlignment="1">
      <alignment horizont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4" borderId="8" xfId="0" applyNumberFormat="1" applyFont="1" applyFill="1" applyBorder="1" applyAlignment="1">
      <alignment horizontal="center" vertical="center"/>
    </xf>
    <xf numFmtId="49" fontId="2" fillId="4" borderId="11" xfId="0" applyNumberFormat="1" applyFont="1" applyFill="1" applyBorder="1" applyAlignment="1">
      <alignment horizontal="center" vertical="center"/>
    </xf>
    <xf numFmtId="0" fontId="0" fillId="5" borderId="59" xfId="0" applyFill="1" applyBorder="1" applyAlignment="1">
      <alignment horizontal="center"/>
    </xf>
    <xf numFmtId="49" fontId="3" fillId="4" borderId="59" xfId="0" applyNumberFormat="1" applyFont="1" applyFill="1" applyBorder="1" applyAlignment="1">
      <alignment horizontal="center"/>
    </xf>
    <xf numFmtId="49" fontId="2" fillId="7" borderId="4" xfId="0" applyNumberFormat="1" applyFont="1" applyFill="1" applyBorder="1" applyAlignment="1">
      <alignment horizontal="center" vertical="center" wrapText="1"/>
    </xf>
    <xf numFmtId="0" fontId="0" fillId="6" borderId="7" xfId="0" applyFill="1" applyBorder="1"/>
    <xf numFmtId="0" fontId="0" fillId="6" borderId="10" xfId="0" applyFill="1" applyBorder="1"/>
    <xf numFmtId="49" fontId="2" fillId="3" borderId="4" xfId="0" applyNumberFormat="1" applyFont="1" applyFill="1" applyBorder="1" applyAlignment="1">
      <alignment horizontal="center" vertical="center"/>
    </xf>
    <xf numFmtId="0" fontId="0" fillId="6" borderId="1" xfId="0" applyFill="1" applyBorder="1"/>
    <xf numFmtId="49" fontId="2" fillId="7" borderId="4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 wrapText="1"/>
    </xf>
    <xf numFmtId="0" fontId="0" fillId="6" borderId="4" xfId="0" applyFill="1" applyBorder="1"/>
    <xf numFmtId="0" fontId="0" fillId="6" borderId="58" xfId="0" applyFill="1" applyBorder="1"/>
    <xf numFmtId="49" fontId="2" fillId="7" borderId="13" xfId="0" applyNumberFormat="1" applyFont="1" applyFill="1" applyBorder="1" applyAlignment="1">
      <alignment horizontal="center" vertical="center" wrapText="1"/>
    </xf>
    <xf numFmtId="49" fontId="2" fillId="7" borderId="14" xfId="0" applyNumberFormat="1" applyFont="1" applyFill="1" applyBorder="1" applyAlignment="1">
      <alignment horizontal="center" vertical="center" wrapText="1"/>
    </xf>
    <xf numFmtId="49" fontId="2" fillId="7" borderId="63" xfId="0" applyNumberFormat="1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49" fontId="2" fillId="7" borderId="64" xfId="0" applyNumberFormat="1" applyFont="1" applyFill="1" applyBorder="1" applyAlignment="1">
      <alignment horizontal="center" vertical="center" wrapText="1"/>
    </xf>
    <xf numFmtId="49" fontId="2" fillId="7" borderId="65" xfId="0" applyNumberFormat="1" applyFont="1" applyFill="1" applyBorder="1" applyAlignment="1">
      <alignment horizontal="center" vertical="center" wrapText="1"/>
    </xf>
    <xf numFmtId="49" fontId="2" fillId="7" borderId="66" xfId="0" applyNumberFormat="1" applyFont="1" applyFill="1" applyBorder="1" applyAlignment="1">
      <alignment horizontal="center" vertical="center" wrapText="1"/>
    </xf>
    <xf numFmtId="49" fontId="2" fillId="7" borderId="15" xfId="0" applyNumberFormat="1" applyFont="1" applyFill="1" applyBorder="1" applyAlignment="1">
      <alignment horizontal="center" vertical="center" wrapText="1"/>
    </xf>
    <xf numFmtId="49" fontId="2" fillId="3" borderId="13" xfId="0" applyNumberFormat="1" applyFont="1" applyFill="1" applyBorder="1" applyAlignment="1">
      <alignment horizontal="center" vertical="center"/>
    </xf>
    <xf numFmtId="49" fontId="2" fillId="3" borderId="14" xfId="0" applyNumberFormat="1" applyFont="1" applyFill="1" applyBorder="1" applyAlignment="1">
      <alignment horizontal="center" vertical="center"/>
    </xf>
    <xf numFmtId="49" fontId="2" fillId="3" borderId="15" xfId="0" applyNumberFormat="1" applyFont="1" applyFill="1" applyBorder="1" applyAlignment="1">
      <alignment horizontal="center" vertical="center"/>
    </xf>
    <xf numFmtId="49" fontId="2" fillId="7" borderId="13" xfId="0" applyNumberFormat="1" applyFont="1" applyFill="1" applyBorder="1" applyAlignment="1">
      <alignment horizontal="center" vertical="center"/>
    </xf>
    <xf numFmtId="49" fontId="2" fillId="7" borderId="14" xfId="0" applyNumberFormat="1" applyFont="1" applyFill="1" applyBorder="1" applyAlignment="1">
      <alignment horizontal="center" vertical="center"/>
    </xf>
    <xf numFmtId="49" fontId="2" fillId="7" borderId="15" xfId="0" applyNumberFormat="1" applyFont="1" applyFill="1" applyBorder="1" applyAlignment="1">
      <alignment horizontal="center" vertical="center"/>
    </xf>
    <xf numFmtId="49" fontId="0" fillId="6" borderId="18" xfId="0" applyNumberFormat="1" applyFill="1" applyBorder="1" applyAlignment="1">
      <alignment horizontal="center" vertical="center"/>
    </xf>
    <xf numFmtId="49" fontId="3" fillId="6" borderId="1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9BD5"/>
      <rgbColor rgb="FF9CC2E5"/>
      <rgbColor rgb="FFBDD6EE"/>
      <rgbColor rgb="FFDEEAF6"/>
      <rgbColor rgb="FFA3C0E1"/>
      <rgbColor rgb="FFBDC0BF"/>
      <rgbColor rgb="FFA5A5A5"/>
      <rgbColor rgb="FF3F3F3F"/>
      <rgbColor rgb="FFDBDBD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DC2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workbookViewId="0">
      <selection activeCell="C6" sqref="C6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5" style="1" bestFit="1" customWidth="1"/>
    <col min="4" max="4" width="9.5" style="1" customWidth="1"/>
    <col min="5" max="5" width="47.33203125" style="1" bestFit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5</v>
      </c>
      <c r="D2" s="9"/>
      <c r="E2" s="10"/>
    </row>
    <row r="3" spans="1:5" ht="14" customHeight="1" x14ac:dyDescent="0.2">
      <c r="A3" s="6" t="s">
        <v>6</v>
      </c>
      <c r="B3" s="7"/>
      <c r="C3" s="8" t="s">
        <v>7</v>
      </c>
      <c r="D3" s="9"/>
      <c r="E3" s="10"/>
    </row>
    <row r="4" spans="1:5" ht="14" customHeight="1" thickBot="1" x14ac:dyDescent="0.25">
      <c r="A4" s="6" t="s">
        <v>8</v>
      </c>
      <c r="B4" s="7"/>
      <c r="C4" s="8" t="s">
        <v>9</v>
      </c>
      <c r="D4" s="9"/>
      <c r="E4" s="10"/>
    </row>
    <row r="5" spans="1:5" ht="14" customHeight="1" thickBot="1" x14ac:dyDescent="0.25">
      <c r="A5" s="124" t="s">
        <v>10</v>
      </c>
      <c r="B5" s="79"/>
      <c r="C5" s="82" t="s">
        <v>11</v>
      </c>
      <c r="D5" s="12" t="s">
        <v>12</v>
      </c>
      <c r="E5" s="13" t="s">
        <v>13</v>
      </c>
    </row>
    <row r="6" spans="1:5" ht="15" customHeight="1" thickBot="1" x14ac:dyDescent="0.25">
      <c r="A6" s="124" t="s">
        <v>14</v>
      </c>
      <c r="B6" s="80"/>
      <c r="C6" s="81" t="s">
        <v>15</v>
      </c>
      <c r="D6" s="16" t="s">
        <v>12</v>
      </c>
      <c r="E6" s="17" t="s">
        <v>16</v>
      </c>
    </row>
    <row r="7" spans="1:5" ht="15" customHeight="1" thickBot="1" x14ac:dyDescent="0.25">
      <c r="A7" s="124" t="s">
        <v>17</v>
      </c>
      <c r="B7" s="80"/>
      <c r="C7" s="15" t="s">
        <v>18</v>
      </c>
      <c r="D7" s="16" t="s">
        <v>12</v>
      </c>
      <c r="E7" s="17"/>
    </row>
    <row r="8" spans="1:5" ht="15" customHeight="1" thickBot="1" x14ac:dyDescent="0.25">
      <c r="A8" s="124" t="s">
        <v>19</v>
      </c>
      <c r="B8" s="80"/>
      <c r="C8" s="81" t="s">
        <v>20</v>
      </c>
      <c r="D8" s="16" t="s">
        <v>12</v>
      </c>
      <c r="E8" s="17" t="s">
        <v>21</v>
      </c>
    </row>
    <row r="9" spans="1:5" ht="15" customHeight="1" thickBot="1" x14ac:dyDescent="0.25">
      <c r="A9" s="124" t="s">
        <v>22</v>
      </c>
      <c r="B9" s="80"/>
      <c r="C9" s="81" t="s">
        <v>23</v>
      </c>
      <c r="D9" s="16" t="s">
        <v>12</v>
      </c>
      <c r="E9" s="17" t="s">
        <v>21</v>
      </c>
    </row>
    <row r="10" spans="1:5" ht="15" customHeight="1" thickBot="1" x14ac:dyDescent="0.25">
      <c r="A10" s="124" t="s">
        <v>24</v>
      </c>
      <c r="B10" s="80"/>
      <c r="C10" s="81" t="s">
        <v>25</v>
      </c>
      <c r="D10" s="16" t="s">
        <v>12</v>
      </c>
      <c r="E10" s="17" t="s">
        <v>21</v>
      </c>
    </row>
    <row r="11" spans="1:5" ht="16" thickBot="1" x14ac:dyDescent="0.25">
      <c r="A11" s="124" t="s">
        <v>26</v>
      </c>
      <c r="B11" s="14"/>
      <c r="C11" s="18" cm="1">
        <f t="array" ref="C11">(HardpointsRr!C9*2+HardpointsFr!C9*2)/2</f>
        <v>1263.5320000000002</v>
      </c>
      <c r="D11" s="16" t="s">
        <v>12</v>
      </c>
      <c r="E11" s="17" t="s">
        <v>27</v>
      </c>
    </row>
    <row r="12" spans="1:5" ht="13.5" customHeight="1" thickBot="1" x14ac:dyDescent="0.25">
      <c r="A12" s="124" t="s">
        <v>28</v>
      </c>
      <c r="B12" s="80"/>
      <c r="C12" s="18" cm="1">
        <f t="array" ref="C12">HardpointsFr!C9*2</f>
        <v>1280</v>
      </c>
      <c r="D12" s="16" t="s">
        <v>12</v>
      </c>
      <c r="E12" s="17"/>
    </row>
    <row r="13" spans="1:5" ht="13.5" customHeight="1" thickBot="1" x14ac:dyDescent="0.25">
      <c r="A13" s="124" t="s">
        <v>29</v>
      </c>
      <c r="B13" s="80"/>
      <c r="C13" s="18" cm="1">
        <f t="array" ref="C13">HardpointsRr!C9*2</f>
        <v>1247.0640000000001</v>
      </c>
      <c r="D13" s="16" t="s">
        <v>12</v>
      </c>
      <c r="E13" s="19"/>
    </row>
    <row r="14" spans="1:5" ht="13.5" customHeight="1" thickBot="1" x14ac:dyDescent="0.25">
      <c r="A14" s="124" t="s">
        <v>12</v>
      </c>
      <c r="B14" s="84"/>
      <c r="C14" s="86">
        <v>259.07</v>
      </c>
      <c r="D14" s="85" t="s">
        <v>30</v>
      </c>
      <c r="E14" s="87" t="s">
        <v>31</v>
      </c>
    </row>
    <row r="15" spans="1:5" ht="13.5" customHeight="1" x14ac:dyDescent="0.2">
      <c r="A15" s="124" t="s">
        <v>32</v>
      </c>
      <c r="B15" s="80"/>
      <c r="C15" s="89" t="s">
        <v>33</v>
      </c>
      <c r="D15" s="91" t="s">
        <v>34</v>
      </c>
      <c r="E15" s="88" t="s">
        <v>35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10FD-85A3-904C-9792-33AB6E61C517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showGridLines="0" zoomScale="125" workbookViewId="0">
      <selection activeCell="E5" sqref="E5"/>
    </sheetView>
  </sheetViews>
  <sheetFormatPr baseColWidth="10" defaultColWidth="8.83203125" defaultRowHeight="14.5" customHeight="1" x14ac:dyDescent="0.2"/>
  <cols>
    <col min="1" max="1" width="24.5" style="1" bestFit="1" customWidth="1"/>
    <col min="2" max="2" width="22.5" style="1" customWidth="1"/>
    <col min="3" max="3" width="37.5" style="1" customWidth="1"/>
    <col min="4" max="4" width="6.5" style="1" customWidth="1"/>
    <col min="5" max="5" width="50.6640625" style="1" bestFit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/>
      <c r="D2" s="9"/>
      <c r="E2" s="10"/>
    </row>
    <row r="3" spans="1:5" ht="14" customHeight="1" x14ac:dyDescent="0.2">
      <c r="A3" s="6" t="s">
        <v>6</v>
      </c>
      <c r="B3" s="7"/>
      <c r="C3" s="8"/>
      <c r="D3" s="9"/>
      <c r="E3" s="10"/>
    </row>
    <row r="4" spans="1:5" ht="14" customHeight="1" thickBot="1" x14ac:dyDescent="0.25">
      <c r="A4" s="6" t="s">
        <v>8</v>
      </c>
      <c r="B4" s="7"/>
      <c r="C4" s="8" t="s">
        <v>37</v>
      </c>
      <c r="D4" s="9"/>
      <c r="E4" s="10"/>
    </row>
    <row r="5" spans="1:5" ht="14" customHeight="1" thickBot="1" x14ac:dyDescent="0.25">
      <c r="A5" s="6" t="s">
        <v>37</v>
      </c>
      <c r="B5" s="119"/>
      <c r="C5" s="121" t="s">
        <v>147</v>
      </c>
      <c r="D5" s="122" t="s">
        <v>67</v>
      </c>
      <c r="E5" s="120"/>
    </row>
    <row r="6" spans="1:5" ht="14.5" customHeight="1" thickBot="1" x14ac:dyDescent="0.25">
      <c r="A6" s="6" t="s">
        <v>65</v>
      </c>
      <c r="B6" s="83"/>
      <c r="C6" s="90" t="s">
        <v>66</v>
      </c>
      <c r="D6" s="92" t="s">
        <v>67</v>
      </c>
      <c r="E6" s="23"/>
    </row>
    <row r="7" spans="1:5" ht="14.5" customHeight="1" thickBot="1" x14ac:dyDescent="0.25">
      <c r="A7" s="6" t="s">
        <v>68</v>
      </c>
      <c r="B7" s="83"/>
      <c r="C7" s="90" t="s">
        <v>68</v>
      </c>
      <c r="D7" s="92" t="s">
        <v>67</v>
      </c>
      <c r="E7" s="2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B35C-CB70-D641-97B1-CD6FD7CCE140}">
  <dimension ref="A1:E35"/>
  <sheetViews>
    <sheetView workbookViewId="0">
      <selection activeCell="C26" sqref="C26"/>
    </sheetView>
  </sheetViews>
  <sheetFormatPr baseColWidth="10" defaultRowHeight="15" x14ac:dyDescent="0.2"/>
  <cols>
    <col min="2" max="2" width="12" bestFit="1" customWidth="1"/>
    <col min="3" max="3" width="33.6640625" bestFit="1" customWidth="1"/>
    <col min="4" max="4" width="10.33203125" customWidth="1"/>
    <col min="5" max="5" width="50.33203125" customWidth="1"/>
  </cols>
  <sheetData>
    <row r="1" spans="1:5" s="1" customFormat="1" ht="15" customHeight="1" thickBot="1" x14ac:dyDescent="0.25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s="1" customFormat="1" ht="14" customHeight="1" thickBot="1" x14ac:dyDescent="0.25">
      <c r="A2" s="6" t="s">
        <v>4</v>
      </c>
      <c r="B2" s="7"/>
      <c r="C2" s="107" t="s">
        <v>37</v>
      </c>
      <c r="D2" s="9"/>
      <c r="E2" s="10"/>
    </row>
    <row r="3" spans="1:5" s="1" customFormat="1" ht="14" customHeight="1" thickBot="1" x14ac:dyDescent="0.25">
      <c r="A3" s="6" t="s">
        <v>6</v>
      </c>
      <c r="B3" s="7"/>
      <c r="C3" s="107" t="s">
        <v>38</v>
      </c>
      <c r="D3" s="9"/>
      <c r="E3" s="10"/>
    </row>
    <row r="4" spans="1:5" s="1" customFormat="1" ht="14" customHeight="1" thickBot="1" x14ac:dyDescent="0.25">
      <c r="A4" s="6" t="s">
        <v>8</v>
      </c>
      <c r="B4" s="7"/>
      <c r="C4" s="107" t="s">
        <v>39</v>
      </c>
      <c r="D4" s="9"/>
      <c r="E4" s="10"/>
    </row>
    <row r="5" spans="1:5" s="1" customFormat="1" ht="14" customHeight="1" x14ac:dyDescent="0.2">
      <c r="A5" s="135" t="s">
        <v>40</v>
      </c>
      <c r="B5" s="79" t="s">
        <v>41</v>
      </c>
      <c r="C5" s="24" t="str">
        <f>"[" &amp; _xlfn.TEXTJOIN(" ", TRUE, HardpointsFr!B2 / 1000, HardpointsFr!C2 / 1000, HardpointsFr!D2 / 1000) &amp; "]"</f>
        <v>[0.2 0.203347 0.12635]</v>
      </c>
      <c r="D5" s="12" t="s">
        <v>12</v>
      </c>
      <c r="E5" s="13" t="s">
        <v>42</v>
      </c>
    </row>
    <row r="6" spans="1:5" s="1" customFormat="1" ht="15" customHeight="1" thickBot="1" x14ac:dyDescent="0.25">
      <c r="A6" s="133"/>
      <c r="B6" s="80" t="s">
        <v>43</v>
      </c>
      <c r="C6" s="25" t="str" cm="1">
        <f t="array" ref="C6">"["&amp;_xlfn.TEXTJOIN(" ",TRUE,HardpointsFr!B3/1000,HardpointsFr!C3/1000,HardpointsFr!D3/1000)&amp;"]"</f>
        <v>[-0.2 0.225 0.12635]</v>
      </c>
      <c r="D6" s="16" t="s">
        <v>12</v>
      </c>
      <c r="E6" s="16" t="s">
        <v>42</v>
      </c>
    </row>
    <row r="7" spans="1:5" s="1" customFormat="1" ht="15" customHeight="1" thickBot="1" x14ac:dyDescent="0.25">
      <c r="A7" s="136"/>
      <c r="B7" s="80" t="s">
        <v>44</v>
      </c>
      <c r="C7" s="25" t="str" cm="1">
        <f t="array" ref="C7">"["&amp;_xlfn.TEXTJOIN(" ",TRUE,HardpointsFr!B4/1000,HardpointsFr!C4/1000,HardpointsFr!D4/1000)&amp;"]"</f>
        <v>[0.011946 0.587821 0.153]</v>
      </c>
      <c r="D7" s="16" t="s">
        <v>12</v>
      </c>
      <c r="E7" s="17" t="s">
        <v>42</v>
      </c>
    </row>
    <row r="8" spans="1:5" s="1" customFormat="1" ht="14" customHeight="1" thickBot="1" x14ac:dyDescent="0.25">
      <c r="A8" s="136"/>
      <c r="B8" s="83" t="s">
        <v>12</v>
      </c>
      <c r="C8" s="21">
        <v>0.16500000000000001</v>
      </c>
      <c r="D8" s="22" t="s">
        <v>12</v>
      </c>
      <c r="E8" s="23"/>
    </row>
    <row r="9" spans="1:5" s="1" customFormat="1" ht="13.5" customHeight="1" x14ac:dyDescent="0.2">
      <c r="A9" s="137" t="s">
        <v>45</v>
      </c>
      <c r="B9" s="79" t="s">
        <v>41</v>
      </c>
      <c r="C9" s="24" t="str" cm="1">
        <f t="array" ref="C9">"["&amp;_xlfn.TEXTJOIN(" ",TRUE,HardpointsFr!B5/1000,HardpointsFr!C5/1000,HardpointsFr!D5/1000)&amp;"]"</f>
        <v>[0.148751 0.207047 0.321794]</v>
      </c>
      <c r="D9" s="12" t="s">
        <v>12</v>
      </c>
      <c r="E9" s="13" t="s">
        <v>42</v>
      </c>
    </row>
    <row r="10" spans="1:5" s="1" customFormat="1" ht="13.5" customHeight="1" x14ac:dyDescent="0.2">
      <c r="A10" s="134"/>
      <c r="B10" s="80" t="s">
        <v>43</v>
      </c>
      <c r="C10" s="25" t="str" cm="1">
        <f t="array" ref="C10">"["&amp;_xlfn.TEXTJOIN(" ",TRUE,HardpointsFr!B6/1000,HardpointsFr!C6/1000,HardpointsFr!D6/1000)&amp;"]"</f>
        <v>[-0.184729 0.225 0.300894]</v>
      </c>
      <c r="D10" s="16" t="s">
        <v>12</v>
      </c>
      <c r="E10" s="16" t="s">
        <v>42</v>
      </c>
    </row>
    <row r="11" spans="1:5" s="1" customFormat="1" ht="13.5" customHeight="1" x14ac:dyDescent="0.2">
      <c r="A11" s="134"/>
      <c r="B11" s="80" t="s">
        <v>44</v>
      </c>
      <c r="C11" s="25" t="str" cm="1">
        <f t="array" ref="C11">"["&amp;_xlfn.TEXTJOIN(" ",TRUE,HardpointsFr!B7/1000,HardpointsFr!C7/1000,HardpointsFr!D7/1000)&amp;"]"</f>
        <v>[-0.012932 0.51868 0.381393]</v>
      </c>
      <c r="D11" s="16" t="s">
        <v>12</v>
      </c>
      <c r="E11" s="17" t="s">
        <v>42</v>
      </c>
    </row>
    <row r="12" spans="1:5" s="1" customFormat="1" ht="13.5" customHeight="1" thickBot="1" x14ac:dyDescent="0.25">
      <c r="A12" s="133"/>
      <c r="B12" s="83" t="s">
        <v>12</v>
      </c>
      <c r="C12" s="21">
        <v>0.12</v>
      </c>
      <c r="D12" s="22" t="s">
        <v>30</v>
      </c>
      <c r="E12" s="23" t="s">
        <v>31</v>
      </c>
    </row>
    <row r="13" spans="1:5" s="1" customFormat="1" ht="13.5" customHeight="1" thickBot="1" x14ac:dyDescent="0.25">
      <c r="A13" s="138" t="s">
        <v>46</v>
      </c>
      <c r="B13" s="79" t="s">
        <v>17</v>
      </c>
      <c r="C13" s="24" t="str" cm="1">
        <f t="array" ref="C13">"["&amp;_xlfn.TEXTJOIN(" ",TRUE,HardpointsFr!B8/1000,HardpointsFr!C8/1000,HardpointsFr!D8/1000)&amp;"]"</f>
        <v>[0.016194 0.582059 0.270346]</v>
      </c>
      <c r="D13" s="12" t="s">
        <v>12</v>
      </c>
      <c r="E13" s="13" t="s">
        <v>42</v>
      </c>
    </row>
    <row r="14" spans="1:5" s="1" customFormat="1" ht="13.5" customHeight="1" thickBot="1" x14ac:dyDescent="0.25">
      <c r="A14" s="136"/>
      <c r="B14" s="80" t="s">
        <v>47</v>
      </c>
      <c r="C14" s="25" t="str" cm="1">
        <f t="array" ref="C14">"["&amp;_xlfn.TEXTJOIN(" ",TRUE,HardpointsFr!B9/1000,HardpointsFr!C9/1000,HardpointsFr!D9/1000)&amp;"]"</f>
        <v>[0 0.64 0.267361]</v>
      </c>
      <c r="D14" s="16" t="s">
        <v>12</v>
      </c>
      <c r="E14" s="17" t="s">
        <v>42</v>
      </c>
    </row>
    <row r="15" spans="1:5" s="1" customFormat="1" ht="13.5" customHeight="1" thickBot="1" x14ac:dyDescent="0.25">
      <c r="A15" s="136"/>
      <c r="B15" s="80" t="s">
        <v>12</v>
      </c>
      <c r="C15" s="26">
        <v>1</v>
      </c>
      <c r="D15" s="16" t="s">
        <v>30</v>
      </c>
      <c r="E15" s="19"/>
    </row>
    <row r="16" spans="1:5" s="1" customFormat="1" ht="13.5" customHeight="1" x14ac:dyDescent="0.2">
      <c r="A16" s="139"/>
      <c r="B16" s="80" t="s">
        <v>48</v>
      </c>
      <c r="C16" s="26">
        <v>0</v>
      </c>
      <c r="D16" s="16" t="s">
        <v>49</v>
      </c>
      <c r="E16" s="17"/>
    </row>
    <row r="17" spans="1:5" s="1" customFormat="1" ht="13.5" customHeight="1" x14ac:dyDescent="0.2">
      <c r="A17" s="134"/>
      <c r="B17" s="80" t="s">
        <v>50</v>
      </c>
      <c r="C17" s="26">
        <v>-1</v>
      </c>
      <c r="D17" s="16" t="s">
        <v>49</v>
      </c>
      <c r="E17" s="17"/>
    </row>
    <row r="18" spans="1:5" s="1" customFormat="1" ht="13.5" customHeight="1" x14ac:dyDescent="0.2">
      <c r="A18" s="134"/>
      <c r="B18" s="80" t="s">
        <v>51</v>
      </c>
      <c r="C18" s="117">
        <v>0.11</v>
      </c>
      <c r="D18" s="16" t="s">
        <v>12</v>
      </c>
      <c r="E18" s="17"/>
    </row>
    <row r="19" spans="1:5" s="1" customFormat="1" ht="13.5" customHeight="1" x14ac:dyDescent="0.2">
      <c r="A19" s="134"/>
      <c r="B19" s="80" t="s">
        <v>52</v>
      </c>
      <c r="C19" s="117">
        <v>0.03</v>
      </c>
      <c r="D19" s="16" t="s">
        <v>12</v>
      </c>
      <c r="E19" s="17"/>
    </row>
    <row r="20" spans="1:5" s="1" customFormat="1" ht="13.5" customHeight="1" thickBot="1" x14ac:dyDescent="0.25">
      <c r="A20" s="133"/>
      <c r="B20" s="83" t="s">
        <v>53</v>
      </c>
      <c r="C20" s="118">
        <v>1.5</v>
      </c>
      <c r="D20" s="22" t="s">
        <v>30</v>
      </c>
      <c r="E20" s="23"/>
    </row>
    <row r="21" spans="1:5" s="1" customFormat="1" ht="13.5" customHeight="1" x14ac:dyDescent="0.2">
      <c r="A21" s="132" t="s">
        <v>150</v>
      </c>
      <c r="B21" s="79" t="s">
        <v>54</v>
      </c>
      <c r="C21" s="24" t="str" cm="1">
        <f t="array" ref="C21">"["&amp;_xlfn.TEXTJOIN(" ",TRUE,HardpointsFr!B10/1000,HardpointsFr!C10/1000,HardpointsFr!D10/1000)&amp;"]"</f>
        <v>[0.104241 0.25 0.171053]</v>
      </c>
      <c r="D21" s="12" t="s">
        <v>12</v>
      </c>
      <c r="E21" s="13" t="s">
        <v>42</v>
      </c>
    </row>
    <row r="22" spans="1:5" s="1" customFormat="1" ht="13.5" customHeight="1" x14ac:dyDescent="0.2">
      <c r="A22" s="134"/>
      <c r="B22" s="14" t="s">
        <v>44</v>
      </c>
      <c r="C22" s="25" t="str" cm="1">
        <f t="array" ref="C22">"["&amp;_xlfn.TEXTJOIN(" ",TRUE,HardpointsFr!B11/1000,HardpointsFr!C11/1000,HardpointsFr!D11/1000)&amp;"]"</f>
        <v>[0.085098 0.575407 0.195444]</v>
      </c>
      <c r="D22" s="16" t="s">
        <v>12</v>
      </c>
      <c r="E22" s="16" t="s">
        <v>42</v>
      </c>
    </row>
    <row r="23" spans="1:5" s="1" customFormat="1" ht="13.5" customHeight="1" thickBot="1" x14ac:dyDescent="0.25">
      <c r="A23" s="133"/>
      <c r="B23" s="20" t="s">
        <v>12</v>
      </c>
      <c r="C23" s="27">
        <v>0.2</v>
      </c>
      <c r="D23" s="22" t="s">
        <v>30</v>
      </c>
      <c r="E23" s="23"/>
    </row>
    <row r="24" spans="1:5" s="1" customFormat="1" ht="13.5" customHeight="1" x14ac:dyDescent="0.2">
      <c r="A24" s="132" t="s">
        <v>55</v>
      </c>
      <c r="B24" s="79" t="s">
        <v>56</v>
      </c>
      <c r="C24" s="24" t="str" cm="1">
        <f t="array" ref="C24">"["&amp;_xlfn.TEXTJOIN(" ",TRUE,HardpointsFr!B12/1000,HardpointsFr!C12/1000,HardpointsFr!D12/1000)&amp;"]"</f>
        <v>[0.011157 0.233131 0.517551]</v>
      </c>
      <c r="D24" s="12" t="s">
        <v>12</v>
      </c>
      <c r="E24" s="13" t="s">
        <v>42</v>
      </c>
    </row>
    <row r="25" spans="1:5" s="1" customFormat="1" ht="13.5" customHeight="1" x14ac:dyDescent="0.2">
      <c r="A25" s="134"/>
      <c r="B25" s="80" t="s">
        <v>57</v>
      </c>
      <c r="C25" s="25" t="str" cm="1">
        <f t="array" ref="C25">"["&amp;_xlfn.TEXTJOIN(" ",TRUE,HardpointsFr!B13/1000,HardpointsFr!C13/1000,HardpointsFr!D13/1000)&amp;"]"</f>
        <v>[0.012327 0.316687 0.35918]</v>
      </c>
      <c r="D25" s="16" t="s">
        <v>12</v>
      </c>
      <c r="E25" s="17" t="s">
        <v>42</v>
      </c>
    </row>
    <row r="26" spans="1:5" s="1" customFormat="1" ht="13.5" customHeight="1" x14ac:dyDescent="0.2">
      <c r="A26" s="140"/>
      <c r="B26" s="84" t="s">
        <v>155</v>
      </c>
      <c r="C26" s="130">
        <v>1.2</v>
      </c>
      <c r="D26" s="131" t="s">
        <v>30</v>
      </c>
      <c r="E26" s="87"/>
    </row>
    <row r="27" spans="1:5" s="1" customFormat="1" ht="13.5" customHeight="1" thickBot="1" x14ac:dyDescent="0.25">
      <c r="A27" s="133"/>
      <c r="B27" s="83" t="s">
        <v>154</v>
      </c>
      <c r="C27" s="21">
        <v>0.8</v>
      </c>
      <c r="D27" s="22" t="s">
        <v>30</v>
      </c>
      <c r="E27" s="23"/>
    </row>
    <row r="28" spans="1:5" s="1" customFormat="1" ht="13.5" customHeight="1" x14ac:dyDescent="0.2">
      <c r="A28" s="132" t="s">
        <v>58</v>
      </c>
      <c r="B28" s="79" t="s">
        <v>59</v>
      </c>
      <c r="C28" s="28">
        <v>2.8000000000000001E-2</v>
      </c>
      <c r="D28" s="12" t="s">
        <v>12</v>
      </c>
      <c r="E28" s="13"/>
    </row>
    <row r="29" spans="1:5" s="1" customFormat="1" ht="13.5" customHeight="1" thickBot="1" x14ac:dyDescent="0.25">
      <c r="A29" s="133"/>
      <c r="B29" s="83" t="s">
        <v>60</v>
      </c>
      <c r="C29" s="21">
        <v>-2.8000000000000001E-2</v>
      </c>
      <c r="D29" s="22" t="s">
        <v>12</v>
      </c>
      <c r="E29" s="23"/>
    </row>
    <row r="30" spans="1:5" s="1" customFormat="1" ht="13.5" customHeight="1" x14ac:dyDescent="0.2">
      <c r="A30" s="132" t="s">
        <v>61</v>
      </c>
      <c r="B30" s="93" t="s">
        <v>54</v>
      </c>
      <c r="C30" s="24" t="str" cm="1">
        <f t="array" ref="C30">"["&amp;_xlfn.TEXTJOIN(" ",TRUE,HardpointsFr!B15/1000,HardpointsFr!C15/1000,HardpointsFr!D15/1000)&amp;"]"</f>
        <v>[0.012324 0.350386 0.36057]</v>
      </c>
      <c r="D30" s="12" t="s">
        <v>12</v>
      </c>
      <c r="E30" s="13" t="s">
        <v>42</v>
      </c>
    </row>
    <row r="31" spans="1:5" s="1" customFormat="1" ht="13.5" customHeight="1" x14ac:dyDescent="0.2">
      <c r="A31" s="134"/>
      <c r="B31" s="94" t="s">
        <v>44</v>
      </c>
      <c r="C31" s="25" t="str" cm="1">
        <f t="array" ref="C31">"["&amp;_xlfn.TEXTJOIN(" ",TRUE,HardpointsFr!B14/1000,HardpointsFr!C14/1000,HardpointsFr!D14/1000)&amp;"]"</f>
        <v>[0.011979 0.550931 0.173993]</v>
      </c>
      <c r="D31" s="16" t="s">
        <v>12</v>
      </c>
      <c r="E31" s="16" t="s">
        <v>42</v>
      </c>
    </row>
    <row r="32" spans="1:5" s="1" customFormat="1" ht="13.5" customHeight="1" thickBot="1" x14ac:dyDescent="0.25">
      <c r="A32" s="133"/>
      <c r="B32" s="95" t="s">
        <v>12</v>
      </c>
      <c r="C32" s="21">
        <v>0.1</v>
      </c>
      <c r="D32" s="22" t="s">
        <v>30</v>
      </c>
      <c r="E32" s="23"/>
    </row>
    <row r="33" spans="1:5" s="1" customFormat="1" ht="13.5" customHeight="1" x14ac:dyDescent="0.2">
      <c r="A33" s="132" t="s">
        <v>62</v>
      </c>
      <c r="B33" s="11" t="s">
        <v>63</v>
      </c>
      <c r="C33" s="24" t="str" cm="1">
        <f t="array" ref="C33">"["&amp;_xlfn.TEXTJOIN(" ",TRUE,HardpointsFr!B16/1000,HardpointsFr!C16/1000,HardpointsFr!D16/1000)&amp;"]"</f>
        <v>[0.011558 0.244431 0.328198]</v>
      </c>
      <c r="D33" s="12" t="s">
        <v>12</v>
      </c>
      <c r="E33" s="13" t="s">
        <v>42</v>
      </c>
    </row>
    <row r="34" spans="1:5" s="1" customFormat="1" ht="13.5" customHeight="1" x14ac:dyDescent="0.2">
      <c r="A34" s="134"/>
      <c r="B34" s="14" t="s">
        <v>64</v>
      </c>
      <c r="C34" s="25" t="str" cm="1">
        <f t="array" ref="C34">"["&amp;_xlfn.TEXTJOIN(" ",TRUE,HardpointsFr!B19/1000,HardpointsFr!C19/1000,HardpointsFr!D19/1000)&amp;"]"</f>
        <v>[0.011527 0.292246 0.342816]</v>
      </c>
      <c r="D34" s="16" t="s">
        <v>12</v>
      </c>
      <c r="E34" s="16" t="s">
        <v>42</v>
      </c>
    </row>
    <row r="35" spans="1:5" s="1" customFormat="1" ht="13.5" customHeight="1" thickBot="1" x14ac:dyDescent="0.25">
      <c r="A35" s="133"/>
      <c r="B35" s="20" t="s">
        <v>12</v>
      </c>
      <c r="C35" s="21">
        <v>0.4</v>
      </c>
      <c r="D35" s="22" t="s">
        <v>30</v>
      </c>
      <c r="E35" s="23"/>
    </row>
  </sheetData>
  <mergeCells count="8">
    <mergeCell ref="A28:A29"/>
    <mergeCell ref="A30:A32"/>
    <mergeCell ref="A33:A35"/>
    <mergeCell ref="A5:A8"/>
    <mergeCell ref="A9:A12"/>
    <mergeCell ref="A13:A20"/>
    <mergeCell ref="A21:A23"/>
    <mergeCell ref="A24:A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>
      <selection activeCell="C17" sqref="C17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37.5" style="1" customWidth="1"/>
    <col min="4" max="4" width="9.5" style="1" customWidth="1"/>
    <col min="5" max="5" width="50.6640625" style="1" bestFit="1" customWidth="1"/>
    <col min="6" max="6" width="8.83203125" style="1" customWidth="1"/>
    <col min="7" max="16384" width="8.83203125" style="1"/>
  </cols>
  <sheetData>
    <row r="1" spans="1:5" ht="76.25" customHeight="1" x14ac:dyDescent="0.2"/>
    <row r="2" spans="1:5" ht="15" customHeight="1" x14ac:dyDescent="0.2">
      <c r="A2" s="2" t="s">
        <v>0</v>
      </c>
      <c r="B2" s="3" t="s">
        <v>36</v>
      </c>
      <c r="C2" s="4" t="s">
        <v>1</v>
      </c>
      <c r="D2" s="4" t="s">
        <v>2</v>
      </c>
      <c r="E2" s="5" t="s">
        <v>3</v>
      </c>
    </row>
    <row r="3" spans="1:5" ht="14" customHeight="1" x14ac:dyDescent="0.2">
      <c r="A3" s="6" t="s">
        <v>4</v>
      </c>
      <c r="B3" s="7"/>
      <c r="C3" s="8" t="s">
        <v>65</v>
      </c>
      <c r="D3" s="9"/>
      <c r="E3" s="10"/>
    </row>
    <row r="4" spans="1:5" ht="14" customHeight="1" x14ac:dyDescent="0.2">
      <c r="A4" s="6" t="s">
        <v>6</v>
      </c>
      <c r="B4" s="7"/>
      <c r="C4" s="8" t="s">
        <v>69</v>
      </c>
      <c r="D4" s="9"/>
      <c r="E4" s="10"/>
    </row>
    <row r="5" spans="1:5" ht="14" customHeight="1" thickBot="1" x14ac:dyDescent="0.25">
      <c r="A5" s="6" t="s">
        <v>8</v>
      </c>
      <c r="B5" s="7"/>
      <c r="C5" s="8" t="s">
        <v>70</v>
      </c>
      <c r="D5" s="9"/>
      <c r="E5" s="10"/>
    </row>
    <row r="6" spans="1:5" ht="13.5" customHeight="1" x14ac:dyDescent="0.2">
      <c r="A6" s="127" t="s">
        <v>71</v>
      </c>
      <c r="B6" s="79"/>
      <c r="C6" s="24" t="str">
        <f>"["&amp;_xlfn.TEXTJOIN(" ",TRUE,HardpointsFr!B19/1000,HardpointsFr!C19/1000,HardpointsFr!D19/1000)&amp;"]"</f>
        <v>[0.011527 0.292246 0.342816]</v>
      </c>
      <c r="D6" s="12" t="s">
        <v>12</v>
      </c>
      <c r="E6" s="13" t="s">
        <v>42</v>
      </c>
    </row>
    <row r="7" spans="1:5" ht="13.5" customHeight="1" x14ac:dyDescent="0.2">
      <c r="A7" s="128" t="s">
        <v>54</v>
      </c>
      <c r="B7" s="80"/>
      <c r="C7" s="25" t="str">
        <f>"["&amp;_xlfn.TEXTJOIN(" ",TRUE,HardpointsFr!B17/1000,HardpointsFr!C17/1000,HardpointsFr!D17/1000)&amp;"]"</f>
        <v>[0.067965 0.262855 0.10135]</v>
      </c>
      <c r="D7" s="16" t="s">
        <v>12</v>
      </c>
      <c r="E7" s="17" t="s">
        <v>42</v>
      </c>
    </row>
    <row r="8" spans="1:5" ht="13.5" customHeight="1" x14ac:dyDescent="0.2">
      <c r="A8" s="128" t="s">
        <v>44</v>
      </c>
      <c r="B8" s="80"/>
      <c r="C8" s="25" t="str" cm="1">
        <f t="array" ref="C8">"["&amp;_xlfn.TEXTJOIN(" ",TRUE,HardpointsFr!B18/1000,HardpointsFr!C18/1000,HardpointsFr!D18/1000)&amp;"]"</f>
        <v>[0.004 0.262849 0.101519]</v>
      </c>
      <c r="D8" s="16" t="s">
        <v>12</v>
      </c>
      <c r="E8" s="17" t="s">
        <v>42</v>
      </c>
    </row>
    <row r="9" spans="1:5" ht="13.5" customHeight="1" x14ac:dyDescent="0.2">
      <c r="A9" s="128" t="s">
        <v>72</v>
      </c>
      <c r="B9" s="80"/>
      <c r="C9" s="29">
        <v>81.933000000000007</v>
      </c>
      <c r="D9" s="16" t="s">
        <v>73</v>
      </c>
      <c r="E9" s="17"/>
    </row>
    <row r="10" spans="1:5" ht="13.5" customHeight="1" thickBot="1" x14ac:dyDescent="0.25">
      <c r="A10" s="129" t="s">
        <v>12</v>
      </c>
      <c r="B10" s="83"/>
      <c r="C10" s="21">
        <v>0.7</v>
      </c>
      <c r="D10" s="22" t="s">
        <v>30</v>
      </c>
      <c r="E10" s="2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showGridLines="0" workbookViewId="0">
      <selection activeCell="C22" sqref="C22"/>
    </sheetView>
  </sheetViews>
  <sheetFormatPr baseColWidth="10" defaultColWidth="8.83203125" defaultRowHeight="14.5" customHeight="1" x14ac:dyDescent="0.2"/>
  <cols>
    <col min="1" max="1" width="14.5" style="1" customWidth="1"/>
    <col min="2" max="2" width="24.5" style="1" bestFit="1" customWidth="1"/>
    <col min="3" max="3" width="37.5" style="1" customWidth="1"/>
    <col min="4" max="4" width="9.5" style="1" customWidth="1"/>
    <col min="5" max="5" width="50.6640625" style="1" bestFit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68</v>
      </c>
      <c r="D2" s="9"/>
      <c r="E2" s="10"/>
    </row>
    <row r="3" spans="1:5" ht="14" customHeight="1" x14ac:dyDescent="0.2">
      <c r="A3" s="6" t="s">
        <v>6</v>
      </c>
      <c r="B3" s="7"/>
      <c r="C3" s="8" t="s">
        <v>74</v>
      </c>
      <c r="D3" s="9"/>
      <c r="E3" s="10"/>
    </row>
    <row r="4" spans="1:5" ht="14" customHeight="1" thickBot="1" x14ac:dyDescent="0.25">
      <c r="A4" s="6" t="s">
        <v>8</v>
      </c>
      <c r="B4" s="7"/>
      <c r="C4" s="8" t="s">
        <v>75</v>
      </c>
      <c r="D4" s="9"/>
      <c r="E4" s="10"/>
    </row>
    <row r="5" spans="1:5" ht="14" customHeight="1" x14ac:dyDescent="0.2">
      <c r="A5" s="141" t="s">
        <v>76</v>
      </c>
      <c r="B5" s="79" t="s">
        <v>77</v>
      </c>
      <c r="C5" s="44" t="str">
        <f>"["&amp;_xlfn.TEXTJOIN(" ",TRUE,HardpointsFr!B13/1000,HardpointsFr!C13/1000,HardpointsFr!D13/1000)&amp;"]"</f>
        <v>[0.012327 0.316687 0.35918]</v>
      </c>
      <c r="D5" s="12" t="s">
        <v>12</v>
      </c>
      <c r="E5" s="13" t="s">
        <v>42</v>
      </c>
    </row>
    <row r="6" spans="1:5" ht="14" customHeight="1" x14ac:dyDescent="0.2">
      <c r="A6" s="142"/>
      <c r="B6" s="98" t="s">
        <v>12</v>
      </c>
      <c r="C6" s="42">
        <v>0.87</v>
      </c>
      <c r="D6" s="43" t="s">
        <v>30</v>
      </c>
      <c r="E6" s="19"/>
    </row>
    <row r="7" spans="1:5" ht="14" customHeight="1" x14ac:dyDescent="0.2">
      <c r="A7" s="143"/>
      <c r="B7" s="80" t="s">
        <v>78</v>
      </c>
      <c r="C7" s="41">
        <v>50</v>
      </c>
      <c r="D7" s="16" t="s">
        <v>79</v>
      </c>
      <c r="E7" s="16"/>
    </row>
    <row r="8" spans="1:5" ht="14" customHeight="1" x14ac:dyDescent="0.2">
      <c r="A8" s="144" t="s">
        <v>80</v>
      </c>
      <c r="B8" s="80" t="s">
        <v>12</v>
      </c>
      <c r="C8" s="25">
        <v>0.5</v>
      </c>
      <c r="D8" s="91" t="s">
        <v>30</v>
      </c>
      <c r="E8" s="17"/>
    </row>
    <row r="9" spans="1:5" ht="14" customHeight="1" thickBot="1" x14ac:dyDescent="0.25">
      <c r="A9" s="145"/>
      <c r="B9" s="80" t="s">
        <v>77</v>
      </c>
      <c r="C9" s="41" t="str">
        <f>"["&amp;_xlfn.TEXTJOIN(" ",TRUE,HardpointsFr!B18/1000,HardpointsFr!C18/1000,HardpointsFr!D18/1000)&amp;"]"</f>
        <v>[0.004 0.262849 0.101519]</v>
      </c>
      <c r="D9" s="16" t="s">
        <v>12</v>
      </c>
      <c r="E9" s="16" t="s">
        <v>42</v>
      </c>
    </row>
  </sheetData>
  <mergeCells count="2">
    <mergeCell ref="A5:A7"/>
    <mergeCell ref="A8:A9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showGridLines="0" workbookViewId="0">
      <selection activeCell="D13" sqref="D13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37.5" style="1" customWidth="1"/>
    <col min="4" max="4" width="9.5" style="1" customWidth="1"/>
    <col min="5" max="5" width="50.6640625" style="1" bestFit="1" customWidth="1"/>
    <col min="6" max="6" width="8.83203125" style="1" customWidth="1"/>
    <col min="7" max="16384" width="8.83203125" style="1"/>
  </cols>
  <sheetData>
    <row r="1" spans="1:5" ht="15" customHeight="1" thickBot="1" x14ac:dyDescent="0.25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ht="14" customHeight="1" thickBot="1" x14ac:dyDescent="0.25">
      <c r="A2" s="6" t="s">
        <v>4</v>
      </c>
      <c r="B2" s="7"/>
      <c r="C2" s="8" t="s">
        <v>37</v>
      </c>
      <c r="D2" s="9"/>
      <c r="E2" s="58"/>
    </row>
    <row r="3" spans="1:5" ht="14" customHeight="1" thickBot="1" x14ac:dyDescent="0.25">
      <c r="A3" s="6" t="s">
        <v>6</v>
      </c>
      <c r="B3" s="7"/>
      <c r="C3" s="8" t="s">
        <v>38</v>
      </c>
      <c r="D3" s="9"/>
      <c r="E3" s="58"/>
    </row>
    <row r="4" spans="1:5" ht="14" customHeight="1" thickBot="1" x14ac:dyDescent="0.25">
      <c r="A4" s="6" t="s">
        <v>8</v>
      </c>
      <c r="B4" s="7"/>
      <c r="C4" s="107" t="s">
        <v>37</v>
      </c>
      <c r="D4" s="9"/>
      <c r="E4" s="58"/>
    </row>
    <row r="5" spans="1:5" ht="14" customHeight="1" thickBot="1" x14ac:dyDescent="0.25">
      <c r="A5" s="6" t="s">
        <v>37</v>
      </c>
      <c r="B5" s="119"/>
      <c r="C5" s="121" t="s">
        <v>149</v>
      </c>
      <c r="D5" s="122" t="s">
        <v>67</v>
      </c>
      <c r="E5" s="123"/>
    </row>
    <row r="6" spans="1:5" ht="14.5" customHeight="1" thickBot="1" x14ac:dyDescent="0.25">
      <c r="A6" s="6" t="s">
        <v>65</v>
      </c>
      <c r="B6" s="83"/>
      <c r="C6" s="90" t="s">
        <v>81</v>
      </c>
      <c r="D6" s="92" t="s">
        <v>67</v>
      </c>
      <c r="E6" s="2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5A869-B0F3-7240-9246-177BC72F43B2}">
  <dimension ref="A1:E35"/>
  <sheetViews>
    <sheetView workbookViewId="0">
      <selection activeCell="C32" sqref="C32"/>
    </sheetView>
  </sheetViews>
  <sheetFormatPr baseColWidth="10" defaultRowHeight="15" x14ac:dyDescent="0.2"/>
  <cols>
    <col min="1" max="1" width="13.83203125" bestFit="1" customWidth="1"/>
    <col min="2" max="2" width="12" bestFit="1" customWidth="1"/>
    <col min="3" max="3" width="33.6640625" bestFit="1" customWidth="1"/>
    <col min="4" max="4" width="10.33203125" customWidth="1"/>
    <col min="5" max="5" width="50.33203125" customWidth="1"/>
  </cols>
  <sheetData>
    <row r="1" spans="1:5" s="1" customFormat="1" ht="15" customHeight="1" thickBot="1" x14ac:dyDescent="0.25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s="1" customFormat="1" ht="14" customHeight="1" thickBot="1" x14ac:dyDescent="0.25">
      <c r="A2" s="6" t="s">
        <v>4</v>
      </c>
      <c r="B2" s="7"/>
      <c r="C2" s="107" t="s">
        <v>37</v>
      </c>
      <c r="D2" s="9"/>
      <c r="E2" s="10"/>
    </row>
    <row r="3" spans="1:5" s="1" customFormat="1" ht="14" customHeight="1" thickBot="1" x14ac:dyDescent="0.25">
      <c r="A3" s="6" t="s">
        <v>6</v>
      </c>
      <c r="B3" s="7"/>
      <c r="C3" s="107" t="s">
        <v>38</v>
      </c>
      <c r="D3" s="9"/>
      <c r="E3" s="10"/>
    </row>
    <row r="4" spans="1:5" s="1" customFormat="1" ht="14" customHeight="1" thickBot="1" x14ac:dyDescent="0.25">
      <c r="A4" s="6" t="s">
        <v>8</v>
      </c>
      <c r="B4" s="7"/>
      <c r="C4" s="107" t="s">
        <v>148</v>
      </c>
      <c r="D4" s="9"/>
      <c r="E4" s="10"/>
    </row>
    <row r="5" spans="1:5" s="1" customFormat="1" ht="14" customHeight="1" x14ac:dyDescent="0.2">
      <c r="A5" s="150" t="s">
        <v>40</v>
      </c>
      <c r="B5" s="79" t="s">
        <v>41</v>
      </c>
      <c r="C5" s="24" t="e" cm="1">
        <f t="array" ref="C5">"["&amp;_xlfn.TEXTJOIN(" ",TRUE,HardpointsRr!B2/1000,HardpointsRr!C2/1000,HardpointsRr!D2/1000)&amp;"]"</f>
        <v>#VALUE!</v>
      </c>
      <c r="D5" s="12" t="s">
        <v>12</v>
      </c>
      <c r="E5" s="59" t="s">
        <v>42</v>
      </c>
    </row>
    <row r="6" spans="1:5" s="1" customFormat="1" x14ac:dyDescent="0.2">
      <c r="A6" s="151"/>
      <c r="B6" s="80" t="s">
        <v>43</v>
      </c>
      <c r="C6" s="25" t="str" cm="1">
        <f t="array" ref="C6">"["&amp;_xlfn.TEXTJOIN(" ",TRUE,HardpointsRr!B3/1000,HardpointsRr!C3/1000,HardpointsRr!D3/1000)&amp;"]"</f>
        <v>[0 0.27 0.12635]</v>
      </c>
      <c r="D6" s="48" t="s">
        <v>12</v>
      </c>
      <c r="E6" s="60" t="s">
        <v>42</v>
      </c>
    </row>
    <row r="7" spans="1:5" s="1" customFormat="1" x14ac:dyDescent="0.2">
      <c r="A7" s="151"/>
      <c r="B7" s="80" t="s">
        <v>44</v>
      </c>
      <c r="C7" s="51" t="str" cm="1">
        <f t="array" ref="C7">"["&amp;_xlfn.TEXTJOIN(" ",TRUE,HardpointsRr!B4/1000,HardpointsRr!C4/1000,HardpointsRr!D4/1000)&amp;"]"</f>
        <v>[0 0.573947 0.1445]</v>
      </c>
      <c r="D7" s="49" t="s">
        <v>12</v>
      </c>
      <c r="E7" s="61" t="s">
        <v>42</v>
      </c>
    </row>
    <row r="8" spans="1:5" s="1" customFormat="1" ht="14" customHeight="1" thickBot="1" x14ac:dyDescent="0.25">
      <c r="A8" s="152"/>
      <c r="B8" s="83" t="s">
        <v>12</v>
      </c>
      <c r="C8" s="52">
        <v>0.16500000000000001</v>
      </c>
      <c r="D8" s="50" t="s">
        <v>12</v>
      </c>
      <c r="E8" s="62"/>
    </row>
    <row r="9" spans="1:5" s="1" customFormat="1" ht="13.5" customHeight="1" x14ac:dyDescent="0.2">
      <c r="A9" s="153" t="s">
        <v>45</v>
      </c>
      <c r="B9" s="79" t="s">
        <v>41</v>
      </c>
      <c r="C9" s="53" t="str" cm="1">
        <f t="array" ref="C9">"["&amp;_xlfn.TEXTJOIN(" ",TRUE,HardpointsRr!B5/1000,HardpointsRr!C5/1000,HardpointsRr!D5/1000)&amp;"]"</f>
        <v>[0 0.305 0.328981]</v>
      </c>
      <c r="D9" s="54" t="s">
        <v>12</v>
      </c>
      <c r="E9" s="63" t="s">
        <v>42</v>
      </c>
    </row>
    <row r="10" spans="1:5" s="1" customFormat="1" ht="13.5" customHeight="1" x14ac:dyDescent="0.2">
      <c r="A10" s="154"/>
      <c r="B10" s="80" t="s">
        <v>43</v>
      </c>
      <c r="C10" s="51" t="str" cm="1">
        <f t="array" ref="C10">"["&amp;_xlfn.TEXTJOIN(" ",TRUE,HardpointsRr!B6/1000,HardpointsRr!C6/1000,HardpointsRr!D6/1000)&amp;"]"</f>
        <v>[0 0.27 0.354475]</v>
      </c>
      <c r="D10" s="57" t="s">
        <v>12</v>
      </c>
      <c r="E10" s="64" t="s">
        <v>42</v>
      </c>
    </row>
    <row r="11" spans="1:5" s="1" customFormat="1" ht="13.5" customHeight="1" x14ac:dyDescent="0.2">
      <c r="A11" s="154"/>
      <c r="B11" s="80" t="s">
        <v>44</v>
      </c>
      <c r="C11" s="51" t="str" cm="1">
        <f t="array" ref="C11">"["&amp;_xlfn.TEXTJOIN(" ",TRUE,HardpointsRr!B7/1000,HardpointsRr!C7/1000,HardpointsRr!D7/1000)&amp;"]"</f>
        <v>[0 0.50633 0.389471]</v>
      </c>
      <c r="D11" s="55" t="s">
        <v>12</v>
      </c>
      <c r="E11" s="65" t="s">
        <v>42</v>
      </c>
    </row>
    <row r="12" spans="1:5" s="1" customFormat="1" ht="13.5" customHeight="1" thickBot="1" x14ac:dyDescent="0.25">
      <c r="A12" s="155"/>
      <c r="B12" s="83" t="s">
        <v>12</v>
      </c>
      <c r="C12" s="21">
        <v>0.12</v>
      </c>
      <c r="D12" s="56" t="s">
        <v>30</v>
      </c>
      <c r="E12" s="66" t="s">
        <v>42</v>
      </c>
    </row>
    <row r="13" spans="1:5" s="1" customFormat="1" ht="13.5" customHeight="1" x14ac:dyDescent="0.2">
      <c r="A13" s="141" t="s">
        <v>46</v>
      </c>
      <c r="B13" s="79" t="s">
        <v>17</v>
      </c>
      <c r="C13" s="24" t="str" cm="1">
        <f t="array" ref="C13">"["&amp;_xlfn.TEXTJOIN(" ",TRUE,HardpointsRr!B8/1000,HardpointsRr!C8/1000,HardpointsRr!D8/1000)&amp;"]"</f>
        <v>[0 0.566642 0.276144]</v>
      </c>
      <c r="D13" s="12" t="s">
        <v>12</v>
      </c>
      <c r="E13" s="59" t="s">
        <v>42</v>
      </c>
    </row>
    <row r="14" spans="1:5" s="1" customFormat="1" ht="13.5" customHeight="1" x14ac:dyDescent="0.2">
      <c r="A14" s="142"/>
      <c r="B14" s="80" t="s">
        <v>47</v>
      </c>
      <c r="C14" s="25" t="str" cm="1">
        <f t="array" ref="C14">"["&amp;_xlfn.TEXTJOIN(" ",TRUE,HardpointsRr!B9/1000,HardpointsRr!C9/1000,HardpointsRr!D9/1000)&amp;"]"</f>
        <v>[0 0.623532 0.267361]</v>
      </c>
      <c r="D14" s="45" t="s">
        <v>12</v>
      </c>
      <c r="E14" s="67" t="s">
        <v>42</v>
      </c>
    </row>
    <row r="15" spans="1:5" s="1" customFormat="1" ht="13.5" customHeight="1" x14ac:dyDescent="0.2">
      <c r="A15" s="142"/>
      <c r="B15" s="80" t="s">
        <v>12</v>
      </c>
      <c r="C15" s="26">
        <v>1</v>
      </c>
      <c r="D15" s="45" t="s">
        <v>30</v>
      </c>
      <c r="E15" s="68"/>
    </row>
    <row r="16" spans="1:5" s="1" customFormat="1" ht="13.5" customHeight="1" x14ac:dyDescent="0.2">
      <c r="A16" s="142"/>
      <c r="B16" s="80" t="s">
        <v>48</v>
      </c>
      <c r="C16" s="26">
        <v>0</v>
      </c>
      <c r="D16" s="16" t="s">
        <v>49</v>
      </c>
      <c r="E16" s="66"/>
    </row>
    <row r="17" spans="1:5" s="1" customFormat="1" ht="13.5" customHeight="1" x14ac:dyDescent="0.2">
      <c r="A17" s="142"/>
      <c r="B17" s="80" t="s">
        <v>50</v>
      </c>
      <c r="C17" s="26">
        <v>-1</v>
      </c>
      <c r="D17" s="16" t="s">
        <v>49</v>
      </c>
      <c r="E17" s="69"/>
    </row>
    <row r="18" spans="1:5" s="1" customFormat="1" ht="13.5" customHeight="1" x14ac:dyDescent="0.2">
      <c r="A18" s="142"/>
      <c r="B18" s="80" t="s">
        <v>51</v>
      </c>
      <c r="C18" s="117">
        <v>0.11</v>
      </c>
      <c r="D18" s="16" t="s">
        <v>12</v>
      </c>
      <c r="E18" s="69"/>
    </row>
    <row r="19" spans="1:5" s="1" customFormat="1" ht="13.5" customHeight="1" x14ac:dyDescent="0.2">
      <c r="A19" s="142"/>
      <c r="B19" s="80" t="s">
        <v>52</v>
      </c>
      <c r="C19" s="117">
        <v>0.03</v>
      </c>
      <c r="D19" s="16" t="s">
        <v>12</v>
      </c>
      <c r="E19" s="69"/>
    </row>
    <row r="20" spans="1:5" s="1" customFormat="1" ht="13.5" customHeight="1" thickBot="1" x14ac:dyDescent="0.25">
      <c r="A20" s="149"/>
      <c r="B20" s="83" t="s">
        <v>53</v>
      </c>
      <c r="C20" s="118">
        <v>1.5</v>
      </c>
      <c r="D20" s="22" t="s">
        <v>30</v>
      </c>
      <c r="E20" s="70"/>
    </row>
    <row r="21" spans="1:5" s="1" customFormat="1" ht="13.5" customHeight="1" x14ac:dyDescent="0.2">
      <c r="A21" s="141" t="s">
        <v>150</v>
      </c>
      <c r="B21" s="79" t="s">
        <v>54</v>
      </c>
      <c r="C21" s="24" t="str" cm="1">
        <f t="array" ref="C21">"["&amp;_xlfn.TEXTJOIN(" ",TRUE,HardpointsRr!B10/1000,HardpointsRr!C10/1000,HardpointsRr!D10/1000)&amp;"]"</f>
        <v>[0 0.27 0.193642]</v>
      </c>
      <c r="D21" s="46" t="s">
        <v>12</v>
      </c>
      <c r="E21" s="71" t="s">
        <v>42</v>
      </c>
    </row>
    <row r="22" spans="1:5" s="1" customFormat="1" ht="13.5" customHeight="1" x14ac:dyDescent="0.2">
      <c r="A22" s="142"/>
      <c r="B22" s="14" t="s">
        <v>44</v>
      </c>
      <c r="C22" s="25" t="str" cm="1">
        <f t="array" ref="C22">"["&amp;_xlfn.TEXTJOIN(" ",TRUE,HardpointsRr!B11/1000,HardpointsRr!C11/1000,HardpointsRr!D11/1000)&amp;"]"</f>
        <v>[0 0.576735 0.232331]</v>
      </c>
      <c r="D22" s="45" t="s">
        <v>12</v>
      </c>
      <c r="E22" s="64" t="s">
        <v>42</v>
      </c>
    </row>
    <row r="23" spans="1:5" s="1" customFormat="1" ht="13.5" customHeight="1" thickBot="1" x14ac:dyDescent="0.25">
      <c r="A23" s="149"/>
      <c r="B23" s="20" t="s">
        <v>12</v>
      </c>
      <c r="C23" s="27">
        <v>0.2</v>
      </c>
      <c r="D23" s="22" t="s">
        <v>30</v>
      </c>
      <c r="E23" s="72"/>
    </row>
    <row r="24" spans="1:5" s="1" customFormat="1" ht="13.5" customHeight="1" x14ac:dyDescent="0.2">
      <c r="A24" s="141" t="s">
        <v>55</v>
      </c>
      <c r="B24" s="79" t="s">
        <v>56</v>
      </c>
      <c r="C24" s="24" t="str" cm="1">
        <f t="array" ref="C24">"["&amp;_xlfn.TEXTJOIN(" ",TRUE,HardpointsRr!B12/1000,HardpointsRr!C12/1000,HardpointsRr!D12/1000)&amp;"]"</f>
        <v>[0 0.283399 0.436103]</v>
      </c>
      <c r="D24" s="46" t="s">
        <v>12</v>
      </c>
      <c r="E24" s="65" t="s">
        <v>42</v>
      </c>
    </row>
    <row r="25" spans="1:5" s="1" customFormat="1" ht="13.5" customHeight="1" x14ac:dyDescent="0.2">
      <c r="A25" s="142"/>
      <c r="B25" s="80" t="s">
        <v>57</v>
      </c>
      <c r="C25" s="25" t="str" cm="1">
        <f t="array" ref="C25">"["&amp;_xlfn.TEXTJOIN(" ",TRUE,HardpointsRr!B13/1000,HardpointsRr!C13/1000,HardpointsRr!D13/1000)&amp;"]"</f>
        <v>[0 0.267161 0.482701]</v>
      </c>
      <c r="D25" s="16" t="s">
        <v>12</v>
      </c>
      <c r="E25" s="66" t="s">
        <v>42</v>
      </c>
    </row>
    <row r="26" spans="1:5" s="1" customFormat="1" ht="13.5" customHeight="1" x14ac:dyDescent="0.2">
      <c r="A26" s="142"/>
      <c r="B26" s="84" t="s">
        <v>154</v>
      </c>
      <c r="C26" s="130">
        <v>0.8</v>
      </c>
      <c r="D26" s="85"/>
      <c r="E26" s="77"/>
    </row>
    <row r="27" spans="1:5" s="1" customFormat="1" ht="13.5" customHeight="1" thickBot="1" x14ac:dyDescent="0.25">
      <c r="A27" s="149"/>
      <c r="B27" s="83" t="s">
        <v>155</v>
      </c>
      <c r="C27" s="21">
        <v>1.2</v>
      </c>
      <c r="D27" s="22" t="s">
        <v>30</v>
      </c>
      <c r="E27" s="73"/>
    </row>
    <row r="28" spans="1:5" s="1" customFormat="1" ht="13.5" customHeight="1" x14ac:dyDescent="0.2">
      <c r="A28" s="141" t="s">
        <v>58</v>
      </c>
      <c r="B28" s="79" t="s">
        <v>59</v>
      </c>
      <c r="C28" s="28">
        <v>2.8000000000000001E-2</v>
      </c>
      <c r="D28" s="12" t="s">
        <v>12</v>
      </c>
      <c r="E28" s="74"/>
    </row>
    <row r="29" spans="1:5" s="1" customFormat="1" ht="13.5" customHeight="1" thickBot="1" x14ac:dyDescent="0.25">
      <c r="A29" s="149"/>
      <c r="B29" s="83" t="s">
        <v>60</v>
      </c>
      <c r="C29" s="21">
        <v>-2.8000000000000001E-2</v>
      </c>
      <c r="D29" s="22" t="s">
        <v>12</v>
      </c>
      <c r="E29" s="73"/>
    </row>
    <row r="30" spans="1:5" s="1" customFormat="1" ht="13.5" customHeight="1" x14ac:dyDescent="0.2">
      <c r="A30" s="146" t="s">
        <v>61</v>
      </c>
      <c r="B30" s="93" t="s">
        <v>54</v>
      </c>
      <c r="C30" s="24" t="str" cm="1">
        <f t="array" ref="C30">"["&amp;_xlfn.TEXTJOIN(" ",TRUE,HardpointsRr!B19/1000,HardpointsRr!C19/1000,HardpointsRr!D19/1000)&amp;"]"</f>
        <v>[0 0.287566 0.463988]</v>
      </c>
      <c r="D30" s="12" t="s">
        <v>12</v>
      </c>
      <c r="E30" s="59" t="s">
        <v>42</v>
      </c>
    </row>
    <row r="31" spans="1:5" s="1" customFormat="1" ht="13.5" customHeight="1" x14ac:dyDescent="0.2">
      <c r="A31" s="147"/>
      <c r="B31" s="94" t="s">
        <v>44</v>
      </c>
      <c r="C31" s="25" t="str" cm="1">
        <f t="array" ref="C31">"["&amp;_xlfn.TEXTJOIN(" ",TRUE,HardpointsRr!B18/1000,HardpointsRr!C18/1000,HardpointsRr!D18/1000)&amp;"]"</f>
        <v>[0 0.305 0.46535]</v>
      </c>
      <c r="D31" s="45" t="s">
        <v>12</v>
      </c>
      <c r="E31" s="64" t="s">
        <v>42</v>
      </c>
    </row>
    <row r="32" spans="1:5" s="1" customFormat="1" ht="13.5" customHeight="1" thickBot="1" x14ac:dyDescent="0.25">
      <c r="A32" s="148"/>
      <c r="B32" s="95" t="s">
        <v>12</v>
      </c>
      <c r="C32" s="21">
        <v>0.1</v>
      </c>
      <c r="D32" s="22" t="s">
        <v>30</v>
      </c>
      <c r="E32" s="75"/>
    </row>
    <row r="33" spans="1:5" s="1" customFormat="1" ht="13.5" customHeight="1" x14ac:dyDescent="0.2">
      <c r="A33" s="141" t="s">
        <v>62</v>
      </c>
      <c r="B33" s="11" t="s">
        <v>63</v>
      </c>
      <c r="C33" s="24" t="str" cm="1">
        <f t="array" ref="C33">"["&amp;_xlfn.TEXTJOIN(" ",TRUE,HardpointsRr!B17/1000,HardpointsRr!C17/1000,HardpointsRr!D17/1000)&amp;"]"</f>
        <v>[0 0.305 0.40135]</v>
      </c>
      <c r="D33" s="12" t="s">
        <v>12</v>
      </c>
      <c r="E33" s="59" t="s">
        <v>42</v>
      </c>
    </row>
    <row r="34" spans="1:5" s="1" customFormat="1" ht="13.5" customHeight="1" x14ac:dyDescent="0.2">
      <c r="A34" s="142"/>
      <c r="B34" s="14" t="s">
        <v>64</v>
      </c>
      <c r="C34" s="25" t="str" cm="1">
        <f t="array" ref="C34">"["&amp;_xlfn.TEXTJOIN(" ",TRUE,HardpointsRr!B16/1000,HardpointsRr!C16/1000,HardpointsRr!D16/1000)&amp;"]"</f>
        <v>[0 0.318427 0.42635]</v>
      </c>
      <c r="D34" s="45" t="s">
        <v>12</v>
      </c>
      <c r="E34" s="64" t="s">
        <v>42</v>
      </c>
    </row>
    <row r="35" spans="1:5" s="1" customFormat="1" ht="13.5" customHeight="1" thickBot="1" x14ac:dyDescent="0.25">
      <c r="A35" s="149"/>
      <c r="B35" s="20" t="s">
        <v>12</v>
      </c>
      <c r="C35" s="21">
        <v>0.4</v>
      </c>
      <c r="D35" s="22" t="s">
        <v>30</v>
      </c>
      <c r="E35" s="75"/>
    </row>
  </sheetData>
  <mergeCells count="8">
    <mergeCell ref="A30:A32"/>
    <mergeCell ref="A33:A35"/>
    <mergeCell ref="A5:A8"/>
    <mergeCell ref="A9:A12"/>
    <mergeCell ref="A13:A20"/>
    <mergeCell ref="A21:A23"/>
    <mergeCell ref="A24:A27"/>
    <mergeCell ref="A28:A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showGridLines="0" workbookViewId="0">
      <selection activeCell="B5" sqref="B5:B9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37.5" style="1" customWidth="1"/>
    <col min="4" max="4" width="9.5" style="1" customWidth="1"/>
    <col min="5" max="5" width="50.6640625" style="1" bestFit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 t="s">
        <v>36</v>
      </c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65</v>
      </c>
      <c r="D2" s="9"/>
      <c r="E2" s="10"/>
    </row>
    <row r="3" spans="1:5" ht="15" customHeight="1" x14ac:dyDescent="0.2">
      <c r="A3" s="6" t="s">
        <v>6</v>
      </c>
      <c r="B3" s="7"/>
      <c r="C3" s="8" t="s">
        <v>69</v>
      </c>
      <c r="D3" s="9"/>
      <c r="E3" s="10"/>
    </row>
    <row r="4" spans="1:5" ht="15" customHeight="1" thickBot="1" x14ac:dyDescent="0.25">
      <c r="A4" s="6" t="s">
        <v>8</v>
      </c>
      <c r="B4" s="7"/>
      <c r="C4" s="8" t="s">
        <v>70</v>
      </c>
      <c r="D4" s="9"/>
      <c r="E4" s="76"/>
    </row>
    <row r="5" spans="1:5" ht="13.5" customHeight="1" x14ac:dyDescent="0.2">
      <c r="A5" s="127" t="s">
        <v>71</v>
      </c>
      <c r="B5" s="79"/>
      <c r="C5" s="24" t="str" cm="1">
        <f t="array" ref="C5">"["&amp;_xlfn.TEXTJOIN(" ",TRUE,HardpointsRr!B16/1000,HardpointsRr!C16/1000,HardpointsRr!D16/1000)&amp;"]"</f>
        <v>[0 0.318427 0.42635]</v>
      </c>
      <c r="D5" s="46" t="s">
        <v>82</v>
      </c>
      <c r="E5" s="71" t="s">
        <v>42</v>
      </c>
    </row>
    <row r="6" spans="1:5" ht="13.5" customHeight="1" x14ac:dyDescent="0.2">
      <c r="A6" s="128" t="s">
        <v>54</v>
      </c>
      <c r="B6" s="80"/>
      <c r="C6" s="25" t="str" cm="1">
        <f t="array" ref="C6">"["&amp;_xlfn.TEXTJOIN(" ",TRUE,HardpointsRr!B14/1000,HardpointsRr!C14/1000,HardpointsRr!D14/1000)&amp;"]"</f>
        <v>[0 0.526395 0.162287]</v>
      </c>
      <c r="D6" s="45" t="s">
        <v>12</v>
      </c>
      <c r="E6" s="60" t="s">
        <v>42</v>
      </c>
    </row>
    <row r="7" spans="1:5" ht="13.5" customHeight="1" x14ac:dyDescent="0.2">
      <c r="A7" s="128" t="s">
        <v>44</v>
      </c>
      <c r="B7" s="80"/>
      <c r="C7" s="25" t="str" cm="1">
        <f t="array" ref="C7">"["&amp;_xlfn.TEXTJOIN(" ",TRUE,HardpointsRr!B15/1000,HardpointsRr!C15/1000,HardpointsRr!D15/1000)&amp;"]"</f>
        <v>[0 0.344016 0.410197]</v>
      </c>
      <c r="D7" s="45" t="s">
        <v>12</v>
      </c>
      <c r="E7" s="64" t="s">
        <v>42</v>
      </c>
    </row>
    <row r="8" spans="1:5" ht="13.5" customHeight="1" x14ac:dyDescent="0.2">
      <c r="A8" s="128" t="s">
        <v>72</v>
      </c>
      <c r="B8" s="80"/>
      <c r="C8" s="31">
        <v>61.879399999999997</v>
      </c>
      <c r="D8" s="16" t="s">
        <v>73</v>
      </c>
      <c r="E8" s="77"/>
    </row>
    <row r="9" spans="1:5" ht="13.5" customHeight="1" thickBot="1" x14ac:dyDescent="0.25">
      <c r="A9" s="129" t="s">
        <v>12</v>
      </c>
      <c r="B9" s="83"/>
      <c r="C9" s="21">
        <v>0.7</v>
      </c>
      <c r="D9" s="47" t="s">
        <v>30</v>
      </c>
      <c r="E9" s="78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showGridLines="0" zoomScale="90" zoomScaleNormal="90" workbookViewId="0">
      <selection activeCell="A9" sqref="A9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2.83203125" style="1" customWidth="1"/>
    <col min="4" max="4" width="9.5" style="1" customWidth="1"/>
    <col min="5" max="5" width="42.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83</v>
      </c>
      <c r="D2" s="9"/>
      <c r="E2" s="10"/>
    </row>
    <row r="3" spans="1:5" ht="14" customHeight="1" x14ac:dyDescent="0.2">
      <c r="A3" s="6" t="s">
        <v>6</v>
      </c>
      <c r="B3" s="7"/>
      <c r="C3" s="8" t="s">
        <v>7</v>
      </c>
      <c r="D3" s="9"/>
      <c r="E3" s="10"/>
    </row>
    <row r="4" spans="1:5" ht="14" customHeight="1" thickBot="1" x14ac:dyDescent="0.25">
      <c r="A4" s="6" t="s">
        <v>8</v>
      </c>
      <c r="B4" s="7"/>
      <c r="C4" s="8" t="s">
        <v>84</v>
      </c>
      <c r="D4" s="9"/>
      <c r="E4" s="10"/>
    </row>
    <row r="5" spans="1:5" ht="13.5" customHeight="1" thickBot="1" x14ac:dyDescent="0.25">
      <c r="A5" s="125" t="s">
        <v>85</v>
      </c>
      <c r="B5" s="79"/>
      <c r="C5" s="24">
        <v>-3</v>
      </c>
      <c r="D5" s="12"/>
      <c r="E5" s="30"/>
    </row>
    <row r="6" spans="1:5" ht="13.5" customHeight="1" thickBot="1" x14ac:dyDescent="0.25">
      <c r="A6" s="125" t="s">
        <v>86</v>
      </c>
      <c r="B6" s="80"/>
      <c r="C6" s="25">
        <v>-1.8</v>
      </c>
      <c r="D6" s="16"/>
      <c r="E6" s="19"/>
    </row>
    <row r="7" spans="1:5" ht="13.5" customHeight="1" thickBot="1" x14ac:dyDescent="0.25">
      <c r="A7" s="125" t="s">
        <v>87</v>
      </c>
      <c r="B7" s="80"/>
      <c r="C7" s="25">
        <v>1.2250000000000001</v>
      </c>
      <c r="D7" s="16" t="s">
        <v>88</v>
      </c>
      <c r="E7" s="19"/>
    </row>
    <row r="8" spans="1:5" ht="13.5" customHeight="1" thickBot="1" x14ac:dyDescent="0.25">
      <c r="A8" s="125" t="s">
        <v>153</v>
      </c>
      <c r="B8" s="80"/>
      <c r="C8" s="25">
        <v>1.2</v>
      </c>
      <c r="D8" s="16" t="s">
        <v>89</v>
      </c>
      <c r="E8" s="19"/>
    </row>
    <row r="9" spans="1:5" ht="13.5" customHeight="1" thickBot="1" x14ac:dyDescent="0.25">
      <c r="A9" s="125" t="s">
        <v>90</v>
      </c>
      <c r="B9" s="83"/>
      <c r="C9" s="32" t="s">
        <v>91</v>
      </c>
      <c r="D9" s="22" t="s">
        <v>30</v>
      </c>
      <c r="E9" s="2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showGridLines="0" workbookViewId="0">
      <selection activeCell="C22" sqref="C22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2.83203125" style="1" customWidth="1"/>
    <col min="4" max="4" width="9.5" style="1" customWidth="1"/>
    <col min="5" max="5" width="42.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92</v>
      </c>
      <c r="D2" s="9"/>
      <c r="E2" s="10"/>
    </row>
    <row r="3" spans="1:5" ht="14" customHeight="1" x14ac:dyDescent="0.2">
      <c r="A3" s="6" t="s">
        <v>6</v>
      </c>
      <c r="B3" s="7"/>
      <c r="C3" s="8" t="s">
        <v>93</v>
      </c>
      <c r="D3" s="9"/>
      <c r="E3" s="10"/>
    </row>
    <row r="4" spans="1:5" ht="14" customHeight="1" thickBot="1" x14ac:dyDescent="0.25">
      <c r="A4" s="6" t="s">
        <v>8</v>
      </c>
      <c r="B4" s="7"/>
      <c r="C4" s="8" t="s">
        <v>93</v>
      </c>
      <c r="D4" s="9"/>
      <c r="E4" s="10"/>
    </row>
    <row r="5" spans="1:5" ht="14" customHeight="1" x14ac:dyDescent="0.2">
      <c r="A5" s="141" t="s">
        <v>94</v>
      </c>
      <c r="B5" s="79" t="s">
        <v>8</v>
      </c>
      <c r="C5" s="82" t="s">
        <v>95</v>
      </c>
      <c r="D5" s="12"/>
      <c r="E5" s="30"/>
    </row>
    <row r="6" spans="1:5" ht="13.5" customHeight="1" x14ac:dyDescent="0.2">
      <c r="A6" s="142"/>
      <c r="B6" s="99" t="s">
        <v>96</v>
      </c>
      <c r="C6" s="100">
        <v>52538.05</v>
      </c>
      <c r="D6" s="101" t="s">
        <v>97</v>
      </c>
      <c r="E6" s="102"/>
    </row>
    <row r="7" spans="1:5" ht="13.5" customHeight="1" thickBot="1" x14ac:dyDescent="0.25">
      <c r="A7" s="149"/>
      <c r="B7" s="83" t="s">
        <v>152</v>
      </c>
      <c r="C7" s="21">
        <v>1.559E-2</v>
      </c>
      <c r="D7" s="22" t="s">
        <v>12</v>
      </c>
      <c r="E7" s="33"/>
    </row>
    <row r="8" spans="1:5" ht="13.5" customHeight="1" x14ac:dyDescent="0.2">
      <c r="A8" s="141" t="s">
        <v>98</v>
      </c>
      <c r="B8" s="79" t="s">
        <v>8</v>
      </c>
      <c r="C8" s="104" t="s">
        <v>95</v>
      </c>
      <c r="D8" s="12"/>
      <c r="E8" s="30"/>
    </row>
    <row r="9" spans="1:5" ht="13.5" customHeight="1" x14ac:dyDescent="0.2">
      <c r="A9" s="142"/>
      <c r="B9" s="99" t="s">
        <v>96</v>
      </c>
      <c r="C9" s="103">
        <v>43781.708749999998</v>
      </c>
      <c r="D9" s="101" t="s">
        <v>97</v>
      </c>
      <c r="E9" s="102"/>
    </row>
    <row r="10" spans="1:5" ht="13.5" customHeight="1" thickBot="1" x14ac:dyDescent="0.25">
      <c r="A10" s="149"/>
      <c r="B10" s="83" t="s">
        <v>152</v>
      </c>
      <c r="C10" s="21">
        <v>1.3899999999999999E-2</v>
      </c>
      <c r="D10" s="22" t="s">
        <v>82</v>
      </c>
      <c r="E10" s="33"/>
    </row>
  </sheetData>
  <mergeCells count="2">
    <mergeCell ref="A5:A7"/>
    <mergeCell ref="A8:A10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8"/>
  <sheetViews>
    <sheetView showGridLines="0" workbookViewId="0">
      <selection activeCell="E33" sqref="E33"/>
    </sheetView>
  </sheetViews>
  <sheetFormatPr baseColWidth="10" defaultColWidth="8.83203125" defaultRowHeight="14.5" customHeight="1" x14ac:dyDescent="0.2"/>
  <cols>
    <col min="1" max="1" width="14.5" style="1" customWidth="1"/>
    <col min="2" max="2" width="22.5" style="1" customWidth="1"/>
    <col min="3" max="3" width="12.83203125" style="1" customWidth="1"/>
    <col min="4" max="4" width="9.5" style="1" customWidth="1"/>
    <col min="5" max="5" width="42.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4" customHeight="1" x14ac:dyDescent="0.2">
      <c r="A2" s="6" t="s">
        <v>4</v>
      </c>
      <c r="B2" s="7"/>
      <c r="C2" s="8" t="s">
        <v>92</v>
      </c>
      <c r="D2" s="9"/>
      <c r="E2" s="10"/>
    </row>
    <row r="3" spans="1:5" ht="14" customHeight="1" x14ac:dyDescent="0.2">
      <c r="A3" s="6" t="s">
        <v>6</v>
      </c>
      <c r="B3" s="7"/>
      <c r="C3" s="8" t="s">
        <v>93</v>
      </c>
      <c r="D3" s="9"/>
      <c r="E3" s="10"/>
    </row>
    <row r="4" spans="1:5" ht="14" customHeight="1" thickBot="1" x14ac:dyDescent="0.25">
      <c r="A4" s="6" t="s">
        <v>8</v>
      </c>
      <c r="B4" s="7"/>
      <c r="C4" s="8" t="s">
        <v>93</v>
      </c>
      <c r="D4" s="9"/>
      <c r="E4" s="10"/>
    </row>
    <row r="5" spans="1:5" ht="14" customHeight="1" x14ac:dyDescent="0.2">
      <c r="A5" s="141" t="s">
        <v>94</v>
      </c>
      <c r="B5" s="79" t="s">
        <v>8</v>
      </c>
      <c r="C5" s="82" t="s">
        <v>95</v>
      </c>
      <c r="D5" s="12"/>
      <c r="E5" s="30"/>
    </row>
    <row r="6" spans="1:5" ht="13.5" customHeight="1" x14ac:dyDescent="0.2">
      <c r="A6" s="142"/>
      <c r="B6" s="99" t="s">
        <v>99</v>
      </c>
      <c r="C6" s="100">
        <v>250000</v>
      </c>
      <c r="D6" s="101" t="s">
        <v>97</v>
      </c>
      <c r="E6" s="102"/>
    </row>
    <row r="7" spans="1:5" ht="13.5" customHeight="1" x14ac:dyDescent="0.2">
      <c r="A7" s="142"/>
      <c r="B7" s="80" t="s">
        <v>100</v>
      </c>
      <c r="C7" s="25">
        <v>100000</v>
      </c>
      <c r="D7" s="91" t="s">
        <v>97</v>
      </c>
      <c r="E7" s="19"/>
    </row>
    <row r="8" spans="1:5" ht="13.5" customHeight="1" x14ac:dyDescent="0.2">
      <c r="A8" s="142"/>
      <c r="B8" s="80" t="s">
        <v>101</v>
      </c>
      <c r="C8" s="25">
        <v>100000</v>
      </c>
      <c r="D8" s="91" t="s">
        <v>97</v>
      </c>
      <c r="E8" s="19"/>
    </row>
    <row r="9" spans="1:5" ht="13.5" customHeight="1" x14ac:dyDescent="0.2">
      <c r="A9" s="142"/>
      <c r="B9" s="80" t="s">
        <v>102</v>
      </c>
      <c r="C9" s="25">
        <v>150</v>
      </c>
      <c r="D9" s="91" t="s">
        <v>97</v>
      </c>
      <c r="E9" s="19"/>
    </row>
    <row r="10" spans="1:5" ht="13.5" customHeight="1" x14ac:dyDescent="0.2">
      <c r="A10" s="142"/>
      <c r="B10" s="80" t="s">
        <v>103</v>
      </c>
      <c r="C10" s="25">
        <v>150</v>
      </c>
      <c r="D10" s="91" t="s">
        <v>97</v>
      </c>
      <c r="E10" s="19"/>
    </row>
    <row r="11" spans="1:5" ht="13.5" customHeight="1" thickBot="1" x14ac:dyDescent="0.25">
      <c r="A11" s="149"/>
      <c r="B11" s="83" t="s">
        <v>104</v>
      </c>
      <c r="C11" s="27">
        <v>1E-4</v>
      </c>
      <c r="D11" s="92" t="s">
        <v>12</v>
      </c>
      <c r="E11" s="33"/>
    </row>
    <row r="12" spans="1:5" ht="13.5" customHeight="1" x14ac:dyDescent="0.2">
      <c r="A12" s="141" t="s">
        <v>98</v>
      </c>
      <c r="B12" s="79" t="s">
        <v>8</v>
      </c>
      <c r="C12" s="105" t="s">
        <v>95</v>
      </c>
      <c r="D12" s="12"/>
      <c r="E12" s="30"/>
    </row>
    <row r="13" spans="1:5" ht="13.5" customHeight="1" x14ac:dyDescent="0.2">
      <c r="A13" s="142"/>
      <c r="B13" s="99" t="s">
        <v>99</v>
      </c>
      <c r="C13" s="100">
        <v>250000</v>
      </c>
      <c r="D13" s="106" t="s">
        <v>97</v>
      </c>
      <c r="E13" s="102"/>
    </row>
    <row r="14" spans="1:5" ht="13.5" customHeight="1" x14ac:dyDescent="0.2">
      <c r="A14" s="142"/>
      <c r="B14" s="80" t="s">
        <v>100</v>
      </c>
      <c r="C14" s="25">
        <v>100000</v>
      </c>
      <c r="D14" s="106" t="s">
        <v>97</v>
      </c>
      <c r="E14" s="19"/>
    </row>
    <row r="15" spans="1:5" ht="13.5" customHeight="1" x14ac:dyDescent="0.2">
      <c r="A15" s="142"/>
      <c r="B15" s="80" t="s">
        <v>101</v>
      </c>
      <c r="C15" s="25">
        <v>100000</v>
      </c>
      <c r="D15" s="106" t="s">
        <v>97</v>
      </c>
      <c r="E15" s="19"/>
    </row>
    <row r="16" spans="1:5" ht="13.5" customHeight="1" x14ac:dyDescent="0.2">
      <c r="A16" s="142"/>
      <c r="B16" s="80" t="s">
        <v>102</v>
      </c>
      <c r="C16" s="25">
        <v>150</v>
      </c>
      <c r="D16" s="106" t="s">
        <v>97</v>
      </c>
      <c r="E16" s="19"/>
    </row>
    <row r="17" spans="1:5" ht="13.5" customHeight="1" x14ac:dyDescent="0.2">
      <c r="A17" s="142"/>
      <c r="B17" s="80" t="s">
        <v>103</v>
      </c>
      <c r="C17" s="25">
        <v>150</v>
      </c>
      <c r="D17" s="106" t="s">
        <v>97</v>
      </c>
      <c r="E17" s="19"/>
    </row>
    <row r="18" spans="1:5" ht="13.5" customHeight="1" thickBot="1" x14ac:dyDescent="0.25">
      <c r="A18" s="149"/>
      <c r="B18" s="83" t="s">
        <v>104</v>
      </c>
      <c r="C18" s="27">
        <v>1E-4</v>
      </c>
      <c r="D18" s="92" t="s">
        <v>12</v>
      </c>
      <c r="E18" s="33"/>
    </row>
  </sheetData>
  <mergeCells count="2">
    <mergeCell ref="A5:A11"/>
    <mergeCell ref="A12:A18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C171-B68F-9245-AAB8-281BA0072F89}">
  <dimension ref="A1:E12"/>
  <sheetViews>
    <sheetView workbookViewId="0">
      <selection activeCell="C23" sqref="C23"/>
    </sheetView>
  </sheetViews>
  <sheetFormatPr baseColWidth="10" defaultColWidth="11.5" defaultRowHeight="15" x14ac:dyDescent="0.2"/>
  <cols>
    <col min="1" max="1" width="21.33203125" customWidth="1"/>
    <col min="2" max="2" width="17.83203125" customWidth="1"/>
    <col min="3" max="3" width="39.1640625" customWidth="1"/>
    <col min="4" max="4" width="12.5" customWidth="1"/>
    <col min="5" max="5" width="37" customWidth="1"/>
  </cols>
  <sheetData>
    <row r="1" spans="1:5" ht="16" thickBot="1" x14ac:dyDescent="0.25">
      <c r="A1" s="2" t="s">
        <v>0</v>
      </c>
      <c r="B1" s="3"/>
      <c r="C1" s="4" t="s">
        <v>1</v>
      </c>
      <c r="D1" s="4" t="s">
        <v>2</v>
      </c>
      <c r="E1" s="5" t="s">
        <v>3</v>
      </c>
    </row>
    <row r="2" spans="1:5" ht="16" thickBot="1" x14ac:dyDescent="0.25">
      <c r="A2" s="6" t="s">
        <v>4</v>
      </c>
      <c r="B2" s="7"/>
      <c r="C2" s="107" t="s">
        <v>105</v>
      </c>
      <c r="D2" s="9"/>
      <c r="E2" s="10"/>
    </row>
    <row r="3" spans="1:5" ht="16" thickBot="1" x14ac:dyDescent="0.25">
      <c r="A3" s="6" t="s">
        <v>6</v>
      </c>
      <c r="B3" s="7"/>
      <c r="C3" s="107" t="s">
        <v>106</v>
      </c>
      <c r="D3" s="9"/>
      <c r="E3" s="10"/>
    </row>
    <row r="4" spans="1:5" ht="16" thickBot="1" x14ac:dyDescent="0.25">
      <c r="A4" s="6" t="s">
        <v>8</v>
      </c>
      <c r="B4" s="7"/>
      <c r="C4" s="107" t="s">
        <v>107</v>
      </c>
      <c r="D4" s="9"/>
      <c r="E4" s="10"/>
    </row>
    <row r="5" spans="1:5" ht="17" thickBot="1" x14ac:dyDescent="0.25">
      <c r="A5" s="97" t="s">
        <v>108</v>
      </c>
      <c r="B5" s="79"/>
      <c r="C5" s="126" t="s">
        <v>151</v>
      </c>
      <c r="D5" s="108" t="s">
        <v>109</v>
      </c>
      <c r="E5" s="109" t="s">
        <v>110</v>
      </c>
    </row>
    <row r="6" spans="1:5" ht="17" thickBot="1" x14ac:dyDescent="0.25">
      <c r="A6" s="97" t="s">
        <v>111</v>
      </c>
      <c r="B6" s="79"/>
      <c r="C6" s="105">
        <v>10</v>
      </c>
      <c r="D6" s="108" t="s">
        <v>30</v>
      </c>
      <c r="E6" s="30"/>
    </row>
    <row r="7" spans="1:5" ht="17" thickBot="1" x14ac:dyDescent="0.25">
      <c r="A7" s="97" t="s">
        <v>112</v>
      </c>
      <c r="B7" s="79"/>
      <c r="C7" s="105" t="s">
        <v>113</v>
      </c>
      <c r="D7" s="108" t="s">
        <v>114</v>
      </c>
      <c r="E7" s="30"/>
    </row>
    <row r="8" spans="1:5" ht="17" thickBot="1" x14ac:dyDescent="0.25">
      <c r="A8" s="97" t="s">
        <v>115</v>
      </c>
      <c r="B8" s="79"/>
      <c r="C8" s="110" t="s">
        <v>116</v>
      </c>
      <c r="D8" s="108" t="s">
        <v>109</v>
      </c>
      <c r="E8" s="30"/>
    </row>
    <row r="9" spans="1:5" ht="17" thickBot="1" x14ac:dyDescent="0.25">
      <c r="A9" s="97" t="s">
        <v>117</v>
      </c>
      <c r="B9" s="79"/>
      <c r="C9" s="105">
        <v>25000</v>
      </c>
      <c r="D9" s="108"/>
      <c r="E9" s="30"/>
    </row>
    <row r="10" spans="1:5" ht="17" thickBot="1" x14ac:dyDescent="0.25">
      <c r="A10" s="97" t="s">
        <v>118</v>
      </c>
      <c r="B10" s="79"/>
      <c r="C10" s="105">
        <v>0.01</v>
      </c>
      <c r="D10" s="108" t="s">
        <v>119</v>
      </c>
      <c r="E10" s="109" t="s">
        <v>120</v>
      </c>
    </row>
    <row r="11" spans="1:5" ht="17" customHeight="1" x14ac:dyDescent="0.2">
      <c r="A11" s="141" t="s">
        <v>121</v>
      </c>
      <c r="B11" s="111" t="s">
        <v>8</v>
      </c>
      <c r="C11" s="112" t="s">
        <v>156</v>
      </c>
      <c r="D11" s="96"/>
      <c r="E11" s="76"/>
    </row>
    <row r="12" spans="1:5" ht="16" thickBot="1" x14ac:dyDescent="0.25">
      <c r="A12" s="149"/>
      <c r="B12" s="113" t="s">
        <v>122</v>
      </c>
      <c r="C12" s="114" t="s">
        <v>11</v>
      </c>
      <c r="D12" s="115" t="s">
        <v>12</v>
      </c>
      <c r="E12" s="116"/>
    </row>
  </sheetData>
  <mergeCells count="1">
    <mergeCell ref="A11:A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21"/>
  <sheetViews>
    <sheetView showGridLines="0" workbookViewId="0">
      <selection activeCell="F16" sqref="F16"/>
    </sheetView>
  </sheetViews>
  <sheetFormatPr baseColWidth="10" defaultColWidth="16.33203125" defaultRowHeight="15.5" customHeight="1" x14ac:dyDescent="0.2"/>
  <cols>
    <col min="1" max="1" width="28.5" style="1" customWidth="1"/>
    <col min="2" max="5" width="16.33203125" style="1" customWidth="1"/>
    <col min="6" max="16384" width="16.33203125" style="1"/>
  </cols>
  <sheetData>
    <row r="1" spans="1:4" ht="13.25" customHeight="1" x14ac:dyDescent="0.2">
      <c r="A1" s="34" t="s">
        <v>123</v>
      </c>
      <c r="B1" s="34" t="s">
        <v>124</v>
      </c>
      <c r="C1" s="34" t="s">
        <v>125</v>
      </c>
      <c r="D1" s="34" t="s">
        <v>126</v>
      </c>
    </row>
    <row r="2" spans="1:4" ht="13.25" customHeight="1" x14ac:dyDescent="0.2">
      <c r="A2" s="35" t="s">
        <v>127</v>
      </c>
      <c r="B2" s="36">
        <v>200</v>
      </c>
      <c r="C2" s="37">
        <v>203.34700000000001</v>
      </c>
      <c r="D2" s="37">
        <v>126.35</v>
      </c>
    </row>
    <row r="3" spans="1:4" ht="13" customHeight="1" x14ac:dyDescent="0.2">
      <c r="A3" s="38" t="s">
        <v>128</v>
      </c>
      <c r="B3" s="39">
        <v>-200</v>
      </c>
      <c r="C3" s="40">
        <v>225</v>
      </c>
      <c r="D3" s="40">
        <v>126.35</v>
      </c>
    </row>
    <row r="4" spans="1:4" ht="13" customHeight="1" x14ac:dyDescent="0.2">
      <c r="A4" s="38" t="s">
        <v>129</v>
      </c>
      <c r="B4" s="39">
        <v>11.946</v>
      </c>
      <c r="C4" s="40">
        <v>587.82100000000003</v>
      </c>
      <c r="D4" s="40">
        <v>153</v>
      </c>
    </row>
    <row r="5" spans="1:4" ht="13" customHeight="1" x14ac:dyDescent="0.2">
      <c r="A5" s="38" t="s">
        <v>130</v>
      </c>
      <c r="B5" s="39">
        <v>148.751</v>
      </c>
      <c r="C5" s="40">
        <v>207.047</v>
      </c>
      <c r="D5" s="40">
        <v>321.79399999999998</v>
      </c>
    </row>
    <row r="6" spans="1:4" ht="13" customHeight="1" x14ac:dyDescent="0.2">
      <c r="A6" s="38" t="s">
        <v>131</v>
      </c>
      <c r="B6" s="39">
        <v>-184.72900000000001</v>
      </c>
      <c r="C6" s="40">
        <v>225</v>
      </c>
      <c r="D6" s="40">
        <v>300.89400000000001</v>
      </c>
    </row>
    <row r="7" spans="1:4" ht="13" customHeight="1" x14ac:dyDescent="0.2">
      <c r="A7" s="38" t="s">
        <v>132</v>
      </c>
      <c r="B7" s="39">
        <v>-12.932</v>
      </c>
      <c r="C7" s="40">
        <v>518.67999999999995</v>
      </c>
      <c r="D7" s="40">
        <v>381.39299999999997</v>
      </c>
    </row>
    <row r="8" spans="1:4" ht="13" customHeight="1" x14ac:dyDescent="0.2">
      <c r="A8" s="38" t="s">
        <v>133</v>
      </c>
      <c r="B8" s="39">
        <v>16.193999999999999</v>
      </c>
      <c r="C8" s="40">
        <v>582.05899999999997</v>
      </c>
      <c r="D8" s="40">
        <v>270.346</v>
      </c>
    </row>
    <row r="9" spans="1:4" ht="13" customHeight="1" x14ac:dyDescent="0.2">
      <c r="A9" s="38" t="s">
        <v>134</v>
      </c>
      <c r="B9" s="39">
        <v>0</v>
      </c>
      <c r="C9" s="40">
        <v>640</v>
      </c>
      <c r="D9" s="40">
        <v>267.36099999999999</v>
      </c>
    </row>
    <row r="10" spans="1:4" ht="13" customHeight="1" x14ac:dyDescent="0.2">
      <c r="A10" s="38" t="s">
        <v>135</v>
      </c>
      <c r="B10" s="39">
        <v>104.241</v>
      </c>
      <c r="C10" s="40">
        <v>250</v>
      </c>
      <c r="D10" s="40">
        <v>171.053</v>
      </c>
    </row>
    <row r="11" spans="1:4" ht="13" customHeight="1" x14ac:dyDescent="0.2">
      <c r="A11" s="38" t="s">
        <v>136</v>
      </c>
      <c r="B11" s="39">
        <v>85.097999999999999</v>
      </c>
      <c r="C11" s="40">
        <v>575.40700000000004</v>
      </c>
      <c r="D11" s="40">
        <v>195.44399999999999</v>
      </c>
    </row>
    <row r="12" spans="1:4" ht="13" customHeight="1" x14ac:dyDescent="0.2">
      <c r="A12" s="38" t="s">
        <v>137</v>
      </c>
      <c r="B12" s="39">
        <v>11.157</v>
      </c>
      <c r="C12" s="40">
        <v>233.131</v>
      </c>
      <c r="D12" s="40">
        <v>517.55100000000004</v>
      </c>
    </row>
    <row r="13" spans="1:4" ht="13" customHeight="1" x14ac:dyDescent="0.2">
      <c r="A13" s="38" t="s">
        <v>138</v>
      </c>
      <c r="B13" s="39">
        <v>12.327</v>
      </c>
      <c r="C13" s="40">
        <v>316.68700000000001</v>
      </c>
      <c r="D13" s="40">
        <v>359.18</v>
      </c>
    </row>
    <row r="14" spans="1:4" ht="13.5" customHeight="1" x14ac:dyDescent="0.2">
      <c r="A14" s="38" t="s">
        <v>139</v>
      </c>
      <c r="B14" s="39">
        <v>11.978999999999999</v>
      </c>
      <c r="C14" s="40">
        <v>550.93100000000004</v>
      </c>
      <c r="D14" s="40">
        <v>173.99299999999999</v>
      </c>
    </row>
    <row r="15" spans="1:4" ht="13" customHeight="1" x14ac:dyDescent="0.2">
      <c r="A15" s="38" t="s">
        <v>140</v>
      </c>
      <c r="B15" s="39">
        <v>12.324</v>
      </c>
      <c r="C15" s="40">
        <v>350.38600000000002</v>
      </c>
      <c r="D15" s="40">
        <v>360.57</v>
      </c>
    </row>
    <row r="16" spans="1:4" ht="13" customHeight="1" x14ac:dyDescent="0.2">
      <c r="A16" s="38" t="s">
        <v>141</v>
      </c>
      <c r="B16" s="39">
        <v>11.558</v>
      </c>
      <c r="C16" s="40">
        <v>244.43100000000001</v>
      </c>
      <c r="D16" s="40">
        <v>328.19799999999998</v>
      </c>
    </row>
    <row r="17" spans="1:4" ht="13" customHeight="1" x14ac:dyDescent="0.2">
      <c r="A17" s="38" t="s">
        <v>142</v>
      </c>
      <c r="B17" s="39">
        <v>67.965000000000003</v>
      </c>
      <c r="C17" s="40">
        <v>262.85500000000002</v>
      </c>
      <c r="D17" s="40">
        <v>101.35</v>
      </c>
    </row>
    <row r="18" spans="1:4" ht="13" customHeight="1" x14ac:dyDescent="0.2">
      <c r="A18" s="38" t="s">
        <v>143</v>
      </c>
      <c r="B18" s="39">
        <v>4</v>
      </c>
      <c r="C18" s="40">
        <v>262.84899999999999</v>
      </c>
      <c r="D18" s="40">
        <v>101.51900000000001</v>
      </c>
    </row>
    <row r="19" spans="1:4" ht="13" customHeight="1" x14ac:dyDescent="0.2">
      <c r="A19" s="38" t="s">
        <v>144</v>
      </c>
      <c r="B19" s="39">
        <v>11.526999999999999</v>
      </c>
      <c r="C19" s="40">
        <v>292.24599999999998</v>
      </c>
      <c r="D19" s="40">
        <v>342.81599999999997</v>
      </c>
    </row>
    <row r="20" spans="1:4" ht="13" customHeight="1" x14ac:dyDescent="0.2">
      <c r="A20" s="38" t="s">
        <v>145</v>
      </c>
      <c r="B20" s="39">
        <v>104.241</v>
      </c>
      <c r="C20" s="40">
        <v>0</v>
      </c>
      <c r="D20" s="40">
        <v>171.053</v>
      </c>
    </row>
    <row r="21" spans="1:4" ht="13" customHeight="1" x14ac:dyDescent="0.2">
      <c r="A21" s="38" t="s">
        <v>146</v>
      </c>
      <c r="B21" s="39">
        <v>-324.96499999999997</v>
      </c>
      <c r="C21" s="40">
        <v>0</v>
      </c>
      <c r="D21" s="40">
        <v>533.79200000000003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E19"/>
  <sheetViews>
    <sheetView showGridLines="0" tabSelected="1" workbookViewId="0">
      <selection activeCell="B2" sqref="B2"/>
    </sheetView>
  </sheetViews>
  <sheetFormatPr baseColWidth="10" defaultColWidth="16.33203125" defaultRowHeight="15.5" customHeight="1" x14ac:dyDescent="0.2"/>
  <cols>
    <col min="1" max="1" width="31.5" style="1" customWidth="1"/>
    <col min="2" max="5" width="16.33203125" style="1" customWidth="1"/>
    <col min="6" max="16384" width="16.33203125" style="1"/>
  </cols>
  <sheetData>
    <row r="1" spans="1:5" ht="13.25" customHeight="1" x14ac:dyDescent="0.2">
      <c r="A1" s="34" t="s">
        <v>123</v>
      </c>
      <c r="B1" s="34" t="s">
        <v>124</v>
      </c>
      <c r="C1" s="34" t="s">
        <v>125</v>
      </c>
      <c r="D1" s="34" t="s">
        <v>126</v>
      </c>
    </row>
    <row r="2" spans="1:5" ht="13.25" customHeight="1" x14ac:dyDescent="0.2">
      <c r="A2" s="35" t="s">
        <v>127</v>
      </c>
      <c r="B2" s="157" t="s">
        <v>157</v>
      </c>
      <c r="C2" s="37">
        <v>305</v>
      </c>
      <c r="D2" s="37">
        <v>126.35</v>
      </c>
      <c r="E2" s="36">
        <v>-1390</v>
      </c>
    </row>
    <row r="3" spans="1:5" ht="13" customHeight="1" x14ac:dyDescent="0.2">
      <c r="A3" s="38" t="s">
        <v>128</v>
      </c>
      <c r="B3" s="157"/>
      <c r="C3" s="40">
        <v>270</v>
      </c>
      <c r="D3" s="40">
        <v>126.35</v>
      </c>
      <c r="E3" s="39">
        <v>-1830</v>
      </c>
    </row>
    <row r="4" spans="1:5" ht="13" customHeight="1" x14ac:dyDescent="0.2">
      <c r="A4" s="38" t="s">
        <v>129</v>
      </c>
      <c r="B4" s="156"/>
      <c r="C4" s="40">
        <v>573.947</v>
      </c>
      <c r="D4" s="40">
        <v>144.5</v>
      </c>
      <c r="E4" s="39">
        <v>-1579.2370000000001</v>
      </c>
    </row>
    <row r="5" spans="1:5" ht="13" customHeight="1" x14ac:dyDescent="0.2">
      <c r="A5" s="38" t="s">
        <v>130</v>
      </c>
      <c r="B5" s="156"/>
      <c r="C5" s="40">
        <v>305</v>
      </c>
      <c r="D5" s="40">
        <v>328.98099999999999</v>
      </c>
      <c r="E5" s="39">
        <v>-1390</v>
      </c>
    </row>
    <row r="6" spans="1:5" ht="13" customHeight="1" x14ac:dyDescent="0.2">
      <c r="A6" s="38" t="s">
        <v>131</v>
      </c>
      <c r="B6" s="156"/>
      <c r="C6" s="40">
        <v>270</v>
      </c>
      <c r="D6" s="40">
        <v>354.47500000000002</v>
      </c>
      <c r="E6" s="39">
        <v>-1830</v>
      </c>
    </row>
    <row r="7" spans="1:5" ht="13" customHeight="1" x14ac:dyDescent="0.2">
      <c r="A7" s="38" t="s">
        <v>132</v>
      </c>
      <c r="B7" s="156"/>
      <c r="C7" s="40">
        <v>506.33</v>
      </c>
      <c r="D7" s="40">
        <v>389.471</v>
      </c>
      <c r="E7" s="39">
        <v>-1569.845</v>
      </c>
    </row>
    <row r="8" spans="1:5" ht="13" customHeight="1" x14ac:dyDescent="0.2">
      <c r="A8" s="38" t="s">
        <v>133</v>
      </c>
      <c r="B8" s="156"/>
      <c r="C8" s="40">
        <v>566.64200000000005</v>
      </c>
      <c r="D8" s="40">
        <v>276.14400000000001</v>
      </c>
      <c r="E8" s="39">
        <v>-1568.8710000000001</v>
      </c>
    </row>
    <row r="9" spans="1:5" ht="13" customHeight="1" x14ac:dyDescent="0.2">
      <c r="A9" s="38" t="s">
        <v>134</v>
      </c>
      <c r="B9" s="156"/>
      <c r="C9" s="40">
        <v>623.53200000000004</v>
      </c>
      <c r="D9" s="40">
        <v>267.36099999999999</v>
      </c>
      <c r="E9" s="39">
        <v>-1574.5989999999999</v>
      </c>
    </row>
    <row r="10" spans="1:5" ht="13" customHeight="1" x14ac:dyDescent="0.2">
      <c r="A10" s="38" t="s">
        <v>135</v>
      </c>
      <c r="B10" s="156"/>
      <c r="C10" s="40">
        <v>270</v>
      </c>
      <c r="D10" s="40">
        <v>193.642</v>
      </c>
      <c r="E10" s="39">
        <v>-1830</v>
      </c>
    </row>
    <row r="11" spans="1:5" ht="13" customHeight="1" x14ac:dyDescent="0.2">
      <c r="A11" s="38" t="s">
        <v>136</v>
      </c>
      <c r="B11" s="157"/>
      <c r="C11" s="40">
        <v>576.73500000000001</v>
      </c>
      <c r="D11" s="40">
        <v>232.33099999999999</v>
      </c>
      <c r="E11" s="39">
        <v>-1675.904</v>
      </c>
    </row>
    <row r="12" spans="1:5" ht="13" customHeight="1" x14ac:dyDescent="0.2">
      <c r="A12" s="38" t="s">
        <v>137</v>
      </c>
      <c r="B12" s="156"/>
      <c r="C12" s="40">
        <v>283.399</v>
      </c>
      <c r="D12" s="40">
        <v>436.10300000000001</v>
      </c>
      <c r="E12" s="39">
        <v>-1395.9760000000001</v>
      </c>
    </row>
    <row r="13" spans="1:5" ht="13" customHeight="1" x14ac:dyDescent="0.2">
      <c r="A13" s="38" t="s">
        <v>138</v>
      </c>
      <c r="B13" s="156"/>
      <c r="C13" s="40">
        <v>267.161</v>
      </c>
      <c r="D13" s="40">
        <v>482.70100000000002</v>
      </c>
      <c r="E13" s="39">
        <v>-1571.538</v>
      </c>
    </row>
    <row r="14" spans="1:5" ht="13" customHeight="1" x14ac:dyDescent="0.2">
      <c r="A14" s="38" t="s">
        <v>139</v>
      </c>
      <c r="B14" s="156"/>
      <c r="C14" s="40">
        <v>526.39499999999998</v>
      </c>
      <c r="D14" s="40">
        <v>162.28700000000001</v>
      </c>
      <c r="E14" s="39">
        <v>-1597.194</v>
      </c>
    </row>
    <row r="15" spans="1:5" ht="13" customHeight="1" x14ac:dyDescent="0.2">
      <c r="A15" s="38" t="s">
        <v>140</v>
      </c>
      <c r="B15" s="156"/>
      <c r="C15" s="40">
        <v>344.01600000000002</v>
      </c>
      <c r="D15" s="40">
        <v>410.197</v>
      </c>
      <c r="E15" s="39">
        <v>-1667.8720000000001</v>
      </c>
    </row>
    <row r="16" spans="1:5" ht="13" customHeight="1" x14ac:dyDescent="0.2">
      <c r="A16" s="38" t="s">
        <v>141</v>
      </c>
      <c r="B16" s="156"/>
      <c r="C16" s="40">
        <v>318.42700000000002</v>
      </c>
      <c r="D16" s="40">
        <v>426.35</v>
      </c>
      <c r="E16" s="39">
        <v>-1585.771</v>
      </c>
    </row>
    <row r="17" spans="1:5" ht="13" customHeight="1" x14ac:dyDescent="0.2">
      <c r="A17" s="38" t="s">
        <v>142</v>
      </c>
      <c r="B17" s="156"/>
      <c r="C17" s="40">
        <v>305</v>
      </c>
      <c r="D17" s="40">
        <v>401.35</v>
      </c>
      <c r="E17" s="39">
        <v>-1830</v>
      </c>
    </row>
    <row r="18" spans="1:5" ht="13" customHeight="1" x14ac:dyDescent="0.2">
      <c r="A18" s="38" t="s">
        <v>143</v>
      </c>
      <c r="B18" s="156"/>
      <c r="C18" s="40">
        <v>305</v>
      </c>
      <c r="D18" s="40">
        <v>465.35</v>
      </c>
      <c r="E18" s="39">
        <v>-1830</v>
      </c>
    </row>
    <row r="19" spans="1:5" ht="13" customHeight="1" x14ac:dyDescent="0.2">
      <c r="A19" s="38" t="s">
        <v>144</v>
      </c>
      <c r="B19" s="156"/>
      <c r="C19" s="40">
        <v>287.56599999999997</v>
      </c>
      <c r="D19" s="40">
        <v>463.988</v>
      </c>
      <c r="E19" s="39">
        <v>-1600.4860000000001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42B7EAA7728A4FA80A5CCAFE8D7EAF" ma:contentTypeVersion="19" ma:contentTypeDescription="Create a new document." ma:contentTypeScope="" ma:versionID="3d037a5681ee6af0e7b5b5d0a2f99b20">
  <xsd:schema xmlns:xsd="http://www.w3.org/2001/XMLSchema" xmlns:xs="http://www.w3.org/2001/XMLSchema" xmlns:p="http://schemas.microsoft.com/office/2006/metadata/properties" xmlns:ns2="9557458c-24b5-4c97-84ed-4c402655f54f" xmlns:ns3="72e3c584-9879-4b35-b9d8-6a248c93e240" targetNamespace="http://schemas.microsoft.com/office/2006/metadata/properties" ma:root="true" ma:fieldsID="966978c8b125399653e7c255ac8e342d" ns2:_="" ns3:_="">
    <xsd:import namespace="9557458c-24b5-4c97-84ed-4c402655f54f"/>
    <xsd:import namespace="72e3c584-9879-4b35-b9d8-6a248c93e2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7458c-24b5-4c97-84ed-4c402655f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4a520e9-238f-4391-a566-21dd424747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e3c584-9879-4b35-b9d8-6a248c93e24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d80220e-f9c1-4e35-9963-4ab067410620}" ma:internalName="TaxCatchAll" ma:showField="CatchAllData" ma:web="72e3c584-9879-4b35-b9d8-6a248c93e2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57458c-24b5-4c97-84ed-4c402655f54f">
      <Terms xmlns="http://schemas.microsoft.com/office/infopath/2007/PartnerControls"/>
    </lcf76f155ced4ddcb4097134ff3c332f>
    <TaxCatchAll xmlns="72e3c584-9879-4b35-b9d8-6a248c93e240" xsi:nil="true"/>
  </documentManagement>
</p:properties>
</file>

<file path=customXml/itemProps1.xml><?xml version="1.0" encoding="utf-8"?>
<ds:datastoreItem xmlns:ds="http://schemas.openxmlformats.org/officeDocument/2006/customXml" ds:itemID="{23C60B87-FF36-4F0E-B782-0EC386590C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5057E1-111A-4671-B2A8-840A9FE9E1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57458c-24b5-4c97-84ed-4c402655f54f"/>
    <ds:schemaRef ds:uri="72e3c584-9879-4b35-b9d8-6a248c93e2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D7EDCD-D7E5-429F-A499-76DDCD78D8B8}">
  <ds:schemaRefs>
    <ds:schemaRef ds:uri="http://schemas.microsoft.com/office/2006/metadata/properties"/>
    <ds:schemaRef ds:uri="http://schemas.microsoft.com/office/infopath/2007/PartnerControls"/>
    <ds:schemaRef ds:uri="9557458c-24b5-4c97-84ed-4c402655f54f"/>
    <ds:schemaRef ds:uri="72e3c584-9879-4b35-b9d8-6a248c93e24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Body</vt:lpstr>
      <vt:lpstr>Sheet1</vt:lpstr>
      <vt:lpstr>SuspA1</vt:lpstr>
      <vt:lpstr>LinkageFront</vt:lpstr>
      <vt:lpstr>ARBFront</vt:lpstr>
      <vt:lpstr>Steer</vt:lpstr>
      <vt:lpstr>SuspA2</vt:lpstr>
      <vt:lpstr>LinkageRear</vt:lpstr>
      <vt:lpstr>ARBRear</vt:lpstr>
      <vt:lpstr>Aero</vt:lpstr>
      <vt:lpstr>Spring</vt:lpstr>
      <vt:lpstr>Damper</vt:lpstr>
      <vt:lpstr>Tire</vt:lpstr>
      <vt:lpstr>HardpointsFr</vt:lpstr>
      <vt:lpstr>HardpointsRr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Andrei Dragos Ganea</cp:lastModifiedBy>
  <cp:revision/>
  <dcterms:created xsi:type="dcterms:W3CDTF">2025-09-27T09:16:51Z</dcterms:created>
  <dcterms:modified xsi:type="dcterms:W3CDTF">2025-11-19T10:28:32Z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0x0101009342B7EAA7728A4FA80A5CCAFE8D7EAF</vt:lpwstr>
  </property>
  <property fmtid="{D5CDD505-2E9C-101B-9397-08002B2CF9AE}" pid="3" name="MediaServiceImageTags">
    <vt:lpwstr/>
  </property>
  <property fmtid="{D5CDD505-2E9C-101B-9397-08002B2CF9AE}" pid="4" name="MSIP_Label_5b58b62f-6f94-46bd-8089-18e64b0a9abb_Enabled">
    <vt:lpwstr>true</vt:lpwstr>
  </property>
  <property fmtid="{D5CDD505-2E9C-101B-9397-08002B2CF9AE}" pid="5" name="MSIP_Label_5b58b62f-6f94-46bd-8089-18e64b0a9abb_SetDate">
    <vt:lpwstr>2025-10-21T14:25:42Z</vt:lpwstr>
  </property>
  <property fmtid="{D5CDD505-2E9C-101B-9397-08002B2CF9AE}" pid="6" name="MSIP_Label_5b58b62f-6f94-46bd-8089-18e64b0a9abb_Method">
    <vt:lpwstr>Standard</vt:lpwstr>
  </property>
  <property fmtid="{D5CDD505-2E9C-101B-9397-08002B2CF9AE}" pid="7" name="MSIP_Label_5b58b62f-6f94-46bd-8089-18e64b0a9abb_Name">
    <vt:lpwstr>defa4170-0d19-0005-0004-bc88714345d2</vt:lpwstr>
  </property>
  <property fmtid="{D5CDD505-2E9C-101B-9397-08002B2CF9AE}" pid="8" name="MSIP_Label_5b58b62f-6f94-46bd-8089-18e64b0a9abb_SiteId">
    <vt:lpwstr>a6eb79fa-c4a9-4cce-818d-b85274d15305</vt:lpwstr>
  </property>
  <property fmtid="{D5CDD505-2E9C-101B-9397-08002B2CF9AE}" pid="9" name="MSIP_Label_5b58b62f-6f94-46bd-8089-18e64b0a9abb_ActionId">
    <vt:lpwstr>62bab860-5457-4d28-81aa-b42e72d75445</vt:lpwstr>
  </property>
  <property fmtid="{D5CDD505-2E9C-101B-9397-08002B2CF9AE}" pid="10" name="MSIP_Label_5b58b62f-6f94-46bd-8089-18e64b0a9abb_ContentBits">
    <vt:lpwstr>0</vt:lpwstr>
  </property>
  <property fmtid="{D5CDD505-2E9C-101B-9397-08002B2CF9AE}" pid="11" name="MSIP_Label_5b58b62f-6f94-46bd-8089-18e64b0a9abb_Tag">
    <vt:lpwstr>50, 3, 0, 1</vt:lpwstr>
  </property>
</Properties>
</file>