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ody" sheetId="1" r:id="rId5"/>
    <sheet name="Susp Front" sheetId="2" r:id="rId6"/>
    <sheet name="ARB Front" sheetId="3" r:id="rId7"/>
    <sheet name="Steer" sheetId="4" r:id="rId8"/>
    <sheet name="Susp Rear" sheetId="5" r:id="rId9"/>
    <sheet name="ARB Rear" sheetId="6" r:id="rId10"/>
    <sheet name="Aero" sheetId="7" r:id="rId11"/>
    <sheet name="Spring" sheetId="8" r:id="rId12"/>
    <sheet name="Damper" sheetId="9" r:id="rId13"/>
    <sheet name="HardpointsFr" sheetId="10" r:id="rId14"/>
    <sheet name="HardpointsRr" sheetId="11" r:id="rId1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<sst xmlns="http://schemas.openxmlformats.org/spreadsheetml/2006/main" uniqueCount="159">
  <si>
    <t>Category</t>
  </si>
  <si>
    <t>Value</t>
  </si>
  <si>
    <t>Unit</t>
  </si>
  <si>
    <t>Comment</t>
  </si>
  <si>
    <t>Type</t>
  </si>
  <si>
    <t>Body</t>
  </si>
  <si>
    <t>Instance</t>
  </si>
  <si>
    <t>FSAE_Achilles</t>
  </si>
  <si>
    <t>class</t>
  </si>
  <si>
    <t>Body_Axle2</t>
  </si>
  <si>
    <t>Axle F</t>
  </si>
  <si>
    <t>[0 0 0]</t>
  </si>
  <si>
    <t>m</t>
  </si>
  <si>
    <t>X, Y, Z coordinates ( DO NOT CHANGE )</t>
  </si>
  <si>
    <t>Axle R</t>
  </si>
  <si>
    <t>[-1,575 0 0]</t>
  </si>
  <si>
    <t xml:space="preserve">X, Y, Z coordinates </t>
  </si>
  <si>
    <t>CoG</t>
  </si>
  <si>
    <t>[-0,8741 0 0,35]</t>
  </si>
  <si>
    <t>Width</t>
  </si>
  <si>
    <t>Track F</t>
  </si>
  <si>
    <t>Track R</t>
  </si>
  <si>
    <t>Mass</t>
  </si>
  <si>
    <t>Kg</t>
  </si>
  <si>
    <t>Chassis + Bodywork + Electrical + Motors + Gearbox</t>
  </si>
  <si>
    <t>Element</t>
  </si>
  <si>
    <t>Linkage</t>
  </si>
  <si>
    <t>DoubleWishbonePushrod_FSAE_Achilles_f</t>
  </si>
  <si>
    <t>DoubleWishbone Pushrod</t>
  </si>
  <si>
    <t>LowerWishbone</t>
  </si>
  <si>
    <t>Inboard Front</t>
  </si>
  <si>
    <t>[-0,184907 0,234925 0,126241]</t>
  </si>
  <si>
    <t>Hardpoint X, Y, Z coordinates ( DO NOT CHANGE HERE )</t>
  </si>
  <si>
    <t>Inboard Rear</t>
  </si>
  <si>
    <t>[0,182434 0,255272 0,126239]</t>
  </si>
  <si>
    <t>Outboard</t>
  </si>
  <si>
    <t>[-0,012000 0,588501 0,141000]</t>
  </si>
  <si>
    <t>UpperWishbone</t>
  </si>
  <si>
    <t>[-0,132944 0,237912 0,326532]</t>
  </si>
  <si>
    <t>[0,167448 0,254640 0,307812]</t>
  </si>
  <si>
    <t>[0,012000 0,521000 0,370000]</t>
  </si>
  <si>
    <t>Upright</t>
  </si>
  <si>
    <t>[0,000000 0,640000 0,250827]</t>
  </si>
  <si>
    <t>Wheel Centre</t>
  </si>
  <si>
    <t>Toe</t>
  </si>
  <si>
    <t>deg</t>
  </si>
  <si>
    <t>Camber</t>
  </si>
  <si>
    <t>Axle Length</t>
  </si>
  <si>
    <t>Wheel Centre to Bearing</t>
  </si>
  <si>
    <t>Axle Mass</t>
  </si>
  <si>
    <t>Trackrod</t>
  </si>
  <si>
    <t>Inboard</t>
  </si>
  <si>
    <t>[-0,104241 0,250000 0,171053]</t>
  </si>
  <si>
    <t>[-0,086252 0,575546 0,195000]</t>
  </si>
  <si>
    <t>Shock</t>
  </si>
  <si>
    <t>Top</t>
  </si>
  <si>
    <t>[-0,011157 0,233131 0,517551]</t>
  </si>
  <si>
    <t>Bottom</t>
  </si>
  <si>
    <t>[-0,011485 0,317842 0,362430]</t>
  </si>
  <si>
    <t>Endstop</t>
  </si>
  <si>
    <t>Max</t>
  </si>
  <si>
    <t>Min</t>
  </si>
  <si>
    <t>Pushrod</t>
  </si>
  <si>
    <t>[-0,011489 0,351537 0,360943]</t>
  </si>
  <si>
    <t>[-0,011917 0,547360 0,169145]</t>
  </si>
  <si>
    <t>Bellcrank</t>
  </si>
  <si>
    <t>Pivot</t>
  </si>
  <si>
    <t>[-0,011558 0,244431 0,328198]</t>
  </si>
  <si>
    <t>BC to Antiroll</t>
  </si>
  <si>
    <t>[-0,011531 0,286508 0,331062]</t>
  </si>
  <si>
    <t>AntiRollBar</t>
  </si>
  <si>
    <t>Droplink_FSAE_Achilles_f</t>
  </si>
  <si>
    <t>DroplinkRod</t>
  </si>
  <si>
    <t>Antiroll Bar</t>
  </si>
  <si>
    <t>BC to ARB</t>
  </si>
  <si>
    <t>[0,067965 0,262855 0,101350]</t>
  </si>
  <si>
    <t>[-0,012038 0,262849 0,101519]</t>
  </si>
  <si>
    <t>Stiffness</t>
  </si>
  <si>
    <t>N/rad</t>
  </si>
  <si>
    <t>Steer</t>
  </si>
  <si>
    <t>WheelDrivenRack1UJoint_Ch2_Achilles</t>
  </si>
  <si>
    <t>WheelDrivenRack1UJoint</t>
  </si>
  <si>
    <t>Steering</t>
  </si>
  <si>
    <t>Rack Mount</t>
  </si>
  <si>
    <t>Rack Mass</t>
  </si>
  <si>
    <t>Steering Wheel Mount</t>
  </si>
  <si>
    <t>Steering Wheel Mass</t>
  </si>
  <si>
    <t>Steering Shaft Mass</t>
  </si>
  <si>
    <t>Steering Wheel Max Angle</t>
  </si>
  <si>
    <t>rad</t>
  </si>
  <si>
    <t>Rack Max Displacement</t>
  </si>
  <si>
    <t>[-0,166149 0,334489 0,126216]</t>
  </si>
  <si>
    <t>[0,224859 0,309894 0,126188]</t>
  </si>
  <si>
    <t>[0,004278 0,574000 0,132500]</t>
  </si>
  <si>
    <t>[-0,162142 0,330769 0,335182]</t>
  </si>
  <si>
    <t>[0,229308 0,293653 0,356806]</t>
  </si>
  <si>
    <t>[-0,004295 0,508715 0,378000]</t>
  </si>
  <si>
    <t>[0,000000 0,625000 0,250827]</t>
  </si>
  <si>
    <t>Tierod</t>
  </si>
  <si>
    <t>[0,257113 0,301223 0,194314]</t>
  </si>
  <si>
    <t>[0,101222 0,578000 0,220000]</t>
  </si>
  <si>
    <t>[-0,180976 0,283390 0,436103]</t>
  </si>
  <si>
    <t>[0,004111 0,267073 0,484010]</t>
  </si>
  <si>
    <t>[0,089612 0,349047 0,403924]</t>
  </si>
  <si>
    <t>[0,022298 0,527859 0,152504]</t>
  </si>
  <si>
    <t>[0,010771 0,318427 0,426360]</t>
  </si>
  <si>
    <t>[0,050000 0,287567 0,463988]</t>
  </si>
  <si>
    <t>M</t>
  </si>
  <si>
    <t>[0,255000 0,305000 0,401350]</t>
  </si>
  <si>
    <t>[0,255000 0,305000 0,480697]</t>
  </si>
  <si>
    <t>Aero</t>
  </si>
  <si>
    <t>sedan</t>
  </si>
  <si>
    <t>Lift</t>
  </si>
  <si>
    <t>Drag</t>
  </si>
  <si>
    <t>Rho Air</t>
  </si>
  <si>
    <t>Kg/m^3</t>
  </si>
  <si>
    <t>ARef</t>
  </si>
  <si>
    <t>m^2</t>
  </si>
  <si>
    <t>Pressure Centre</t>
  </si>
  <si>
    <t>[-1,570 0 0,3]</t>
  </si>
  <si>
    <t>Spring</t>
  </si>
  <si>
    <t>Independent</t>
  </si>
  <si>
    <t>Axle1</t>
  </si>
  <si>
    <t>K</t>
  </si>
  <si>
    <t>N/m</t>
  </si>
  <si>
    <t>Preload</t>
  </si>
  <si>
    <t>Axle2</t>
  </si>
  <si>
    <t>Damping</t>
  </si>
  <si>
    <t>Endstop KxMax</t>
  </si>
  <si>
    <t>Endstop KxMin</t>
  </si>
  <si>
    <t>Endstop dxMin</t>
  </si>
  <si>
    <t>Endstop dxMax</t>
  </si>
  <si>
    <t>Transition</t>
  </si>
  <si>
    <t>Name</t>
  </si>
  <si>
    <t>X</t>
  </si>
  <si>
    <t>Y</t>
  </si>
  <si>
    <t>Z</t>
  </si>
  <si>
    <t>lcaF</t>
  </si>
  <si>
    <t>lcaR</t>
  </si>
  <si>
    <t>lcaO</t>
  </si>
  <si>
    <t>ucaF</t>
  </si>
  <si>
    <t>ucaR</t>
  </si>
  <si>
    <t>ucaO</t>
  </si>
  <si>
    <t>uprightCG</t>
  </si>
  <si>
    <t>wheelCenter</t>
  </si>
  <si>
    <t>trackrodI</t>
  </si>
  <si>
    <t>trackrodO</t>
  </si>
  <si>
    <t>shockT</t>
  </si>
  <si>
    <t>shockB</t>
  </si>
  <si>
    <t>PushrodOut</t>
  </si>
  <si>
    <t>BCrod</t>
  </si>
  <si>
    <t>BCpivot</t>
  </si>
  <si>
    <t>arbI</t>
  </si>
  <si>
    <t>arbO</t>
  </si>
  <si>
    <t>arbSus</t>
  </si>
  <si>
    <t>steerRack</t>
  </si>
  <si>
    <t>steerWheel</t>
  </si>
  <si>
    <t>steerPinion</t>
  </si>
  <si>
    <t>upperCol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</si>
</sst>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00"/>
    <numFmt numFmtId="60" formatCode="#,##0.0000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b val="1"/>
      <sz val="11"/>
      <color indexed="8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23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bottom"/>
    </xf>
    <xf numFmtId="49" fontId="3" fillId="2" borderId="3" applyNumberFormat="1" applyFont="1" applyFill="1" applyBorder="1" applyAlignment="1" applyProtection="0">
      <alignment horizontal="center" vertical="bottom"/>
    </xf>
    <xf numFmtId="49" fontId="4" fillId="3" borderId="1" applyNumberFormat="1" applyFont="1" applyFill="1" applyBorder="1" applyAlignment="1" applyProtection="0">
      <alignment horizontal="center" vertical="center"/>
    </xf>
    <xf numFmtId="49" fontId="0" fillId="4" borderId="2" applyNumberFormat="1" applyFont="1" applyFill="1" applyBorder="1" applyAlignment="1" applyProtection="0">
      <alignment horizontal="center" vertical="center"/>
    </xf>
    <xf numFmtId="49" fontId="0" fillId="5" borderId="2" applyNumberFormat="1" applyFont="1" applyFill="1" applyBorder="1" applyAlignment="1" applyProtection="0">
      <alignment horizontal="center" vertical="bottom"/>
    </xf>
    <xf numFmtId="49" fontId="0" fillId="4" borderId="2" applyNumberFormat="1" applyFont="1" applyFill="1" applyBorder="1" applyAlignment="1" applyProtection="0">
      <alignment horizontal="center" vertical="bottom"/>
    </xf>
    <xf numFmtId="0" fontId="0" fillId="4" borderId="3" applyNumberFormat="0" applyFont="1" applyFill="1" applyBorder="1" applyAlignment="1" applyProtection="0">
      <alignment horizontal="center" vertical="bottom"/>
    </xf>
    <xf numFmtId="49" fontId="4" fillId="3" borderId="4" applyNumberFormat="1" applyFont="1" applyFill="1" applyBorder="1" applyAlignment="1" applyProtection="0">
      <alignment horizontal="center" vertical="center"/>
    </xf>
    <xf numFmtId="49" fontId="0" fillId="4" borderId="5" applyNumberFormat="1" applyFont="1" applyFill="1" applyBorder="1" applyAlignment="1" applyProtection="0">
      <alignment horizontal="center" vertical="center"/>
    </xf>
    <xf numFmtId="49" fontId="0" fillId="5" borderId="5" applyNumberFormat="1" applyFont="1" applyFill="1" applyBorder="1" applyAlignment="1" applyProtection="0">
      <alignment horizontal="center" vertical="bottom"/>
    </xf>
    <xf numFmtId="49" fontId="0" fillId="4" borderId="5" applyNumberFormat="1" applyFont="1" applyFill="1" applyBorder="1" applyAlignment="1" applyProtection="0">
      <alignment horizontal="center" vertical="bottom"/>
    </xf>
    <xf numFmtId="49" fontId="0" fillId="4" borderId="6" applyNumberFormat="1" applyFont="1" applyFill="1" applyBorder="1" applyAlignment="1" applyProtection="0">
      <alignment horizontal="center" vertical="bottom"/>
    </xf>
    <xf numFmtId="0" fontId="0" fillId="6" borderId="7" applyNumberFormat="0" applyFont="1" applyFill="1" applyBorder="1" applyAlignment="1" applyProtection="0">
      <alignment vertical="bottom"/>
    </xf>
    <xf numFmtId="49" fontId="0" fillId="4" borderId="8" applyNumberFormat="1" applyFont="1" applyFill="1" applyBorder="1" applyAlignment="1" applyProtection="0">
      <alignment horizontal="center" vertical="center"/>
    </xf>
    <xf numFmtId="49" fontId="0" fillId="5" borderId="8" applyNumberFormat="1" applyFont="1" applyFill="1" applyBorder="1" applyAlignment="1" applyProtection="0">
      <alignment horizontal="center" vertical="bottom"/>
    </xf>
    <xf numFmtId="49" fontId="0" fillId="4" borderId="8" applyNumberFormat="1" applyFont="1" applyFill="1" applyBorder="1" applyAlignment="1" applyProtection="0">
      <alignment horizontal="center" vertical="bottom"/>
    </xf>
    <xf numFmtId="49" fontId="0" fillId="4" borderId="9" applyNumberFormat="1" applyFont="1" applyFill="1" applyBorder="1" applyAlignment="1" applyProtection="0">
      <alignment horizontal="center" vertical="bottom"/>
    </xf>
    <xf numFmtId="0" fontId="0" fillId="6" borderId="1" applyNumberFormat="0" applyFont="1" applyFill="1" applyBorder="1" applyAlignment="1" applyProtection="0">
      <alignment vertical="bottom"/>
    </xf>
    <xf numFmtId="0" fontId="0" fillId="6" borderId="4" applyNumberFormat="0" applyFont="1" applyFill="1" applyBorder="1" applyAlignment="1" applyProtection="0">
      <alignment vertical="bottom"/>
    </xf>
    <xf numFmtId="59" fontId="0" fillId="5" borderId="8" applyNumberFormat="1" applyFont="1" applyFill="1" applyBorder="1" applyAlignment="1" applyProtection="0">
      <alignment horizontal="center" vertical="bottom"/>
    </xf>
    <xf numFmtId="0" fontId="0" fillId="6" borderId="10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horizontal="center" vertical="bottom"/>
    </xf>
    <xf numFmtId="49" fontId="0" fillId="4" borderId="11" applyNumberFormat="1" applyFont="1" applyFill="1" applyBorder="1" applyAlignment="1" applyProtection="0">
      <alignment horizontal="center" vertical="center"/>
    </xf>
    <xf numFmtId="0" fontId="0" fillId="5" borderId="11" applyNumberFormat="1" applyFont="1" applyFill="1" applyBorder="1" applyAlignment="1" applyProtection="0">
      <alignment horizontal="center" vertical="bottom"/>
    </xf>
    <xf numFmtId="49" fontId="0" fillId="4" borderId="11" applyNumberFormat="1" applyFont="1" applyFill="1" applyBorder="1" applyAlignment="1" applyProtection="0">
      <alignment horizontal="center" vertical="bottom"/>
    </xf>
    <xf numFmtId="49" fontId="0" fillId="4" borderId="12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fillId="5" borderId="5" applyNumberFormat="0" applyFont="1" applyFill="1" applyBorder="1" applyAlignment="1" applyProtection="0">
      <alignment horizontal="center" vertical="bottom"/>
    </xf>
    <xf numFmtId="0" fontId="0" fillId="5" borderId="8" applyNumberFormat="0" applyFont="1" applyFill="1" applyBorder="1" applyAlignment="1" applyProtection="0">
      <alignment horizontal="center" vertical="bottom"/>
    </xf>
    <xf numFmtId="49" fontId="4" fillId="7" borderId="4" applyNumberFormat="1" applyFont="1" applyFill="1" applyBorder="1" applyAlignment="1" applyProtection="0">
      <alignment horizontal="center" vertical="center"/>
    </xf>
    <xf numFmtId="49" fontId="4" fillId="7" borderId="1" applyNumberFormat="1" applyFont="1" applyFill="1" applyBorder="1" applyAlignment="1" applyProtection="0">
      <alignment horizontal="center" vertical="center" wrapText="1"/>
    </xf>
    <xf numFmtId="0" fontId="0" fillId="5" borderId="8" applyNumberFormat="1" applyFont="1" applyFill="1" applyBorder="1" applyAlignment="1" applyProtection="0">
      <alignment horizontal="center" vertical="bottom"/>
    </xf>
    <xf numFmtId="0" fontId="0" fillId="5" borderId="11" applyNumberFormat="0" applyFont="1" applyFill="1" applyBorder="1" applyAlignment="1" applyProtection="0">
      <alignment horizontal="center" vertical="bottom"/>
    </xf>
    <xf numFmtId="49" fontId="4" fillId="7" borderId="4" applyNumberFormat="1" applyFont="1" applyFill="1" applyBorder="1" applyAlignment="1" applyProtection="0">
      <alignment horizontal="center" vertical="center" wrapText="1"/>
    </xf>
    <xf numFmtId="0" fontId="0" fillId="5" borderId="5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3" fontId="0" fillId="5" borderId="8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6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60" fontId="0" fillId="5" borderId="8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0" fillId="5" borderId="11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fillId="4" borderId="12" applyNumberFormat="0" applyFont="1" applyFill="1" applyBorder="1" applyAlignment="1" applyProtection="0">
      <alignment horizontal="center" vertical="bottom"/>
    </xf>
    <xf numFmtId="2" fontId="0" fillId="5" borderId="5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4" fillId="7" borderId="13" applyNumberFormat="1" applyFont="1" applyFill="1" applyBorder="1" applyAlignment="1" applyProtection="0">
      <alignment horizontal="center" vertical="center" wrapText="1"/>
    </xf>
    <xf numFmtId="0" fontId="0" fillId="6" borderId="14" applyNumberFormat="0" applyFont="1" applyFill="1" applyBorder="1" applyAlignment="1" applyProtection="0">
      <alignment vertical="bottom"/>
    </xf>
    <xf numFmtId="0" fontId="0" fillId="6" borderId="1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8" borderId="16" applyNumberFormat="1" applyFont="1" applyFill="1" applyBorder="1" applyAlignment="1" applyProtection="0">
      <alignment horizontal="center" vertical="center"/>
    </xf>
    <xf numFmtId="49" fontId="4" fillId="9" borderId="17" applyNumberFormat="1" applyFont="1" applyFill="1" applyBorder="1" applyAlignment="1" applyProtection="0">
      <alignment horizontal="center" vertical="center"/>
    </xf>
    <xf numFmtId="59" fontId="0" fillId="6" borderId="18" applyNumberFormat="1" applyFont="1" applyFill="1" applyBorder="1" applyAlignment="1" applyProtection="0">
      <alignment horizontal="center" vertical="center"/>
    </xf>
    <xf numFmtId="59" fontId="0" fillId="6" borderId="19" applyNumberFormat="1" applyFont="1" applyFill="1" applyBorder="1" applyAlignment="1" applyProtection="0">
      <alignment horizontal="center" vertical="center"/>
    </xf>
    <xf numFmtId="49" fontId="4" fillId="9" borderId="20" applyNumberFormat="1" applyFont="1" applyFill="1" applyBorder="1" applyAlignment="1" applyProtection="0">
      <alignment horizontal="center" vertical="center"/>
    </xf>
    <xf numFmtId="59" fontId="0" fillId="6" borderId="21" applyNumberFormat="1" applyFont="1" applyFill="1" applyBorder="1" applyAlignment="1" applyProtection="0">
      <alignment horizontal="center" vertical="center"/>
    </xf>
    <xf numFmtId="59" fontId="0" fillId="6" borderId="22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3c0e1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1" customWidth="1"/>
    <col min="2" max="2" width="22.4375" style="1" customWidth="1"/>
    <col min="3" max="3" width="12.8516" style="1" customWidth="1"/>
    <col min="4" max="4" width="9.39844" style="1" customWidth="1"/>
    <col min="5" max="5" width="42.4375" style="1" customWidth="1"/>
    <col min="6" max="16384" width="8.85156" style="1" customWidth="1"/>
  </cols>
  <sheetData>
    <row r="1" ht="15" customHeight="1">
      <c r="A1" t="s" s="2">
        <v>0</v>
      </c>
      <c r="B1" s="3"/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t="s" s="8">
        <v>5</v>
      </c>
      <c r="D2" s="9"/>
      <c r="E2" s="10"/>
    </row>
    <row r="3" ht="14.1" customHeight="1">
      <c r="A3" t="s" s="6">
        <v>6</v>
      </c>
      <c r="B3" s="7"/>
      <c r="C3" t="s" s="8">
        <v>7</v>
      </c>
      <c r="D3" s="9"/>
      <c r="E3" s="10"/>
    </row>
    <row r="4" ht="14.1" customHeight="1">
      <c r="A4" t="s" s="6">
        <v>8</v>
      </c>
      <c r="B4" s="7"/>
      <c r="C4" t="s" s="8">
        <v>9</v>
      </c>
      <c r="D4" s="9"/>
      <c r="E4" s="10"/>
    </row>
    <row r="5" ht="14.1" customHeight="1">
      <c r="A5" t="s" s="11">
        <v>5</v>
      </c>
      <c r="B5" t="s" s="12">
        <v>10</v>
      </c>
      <c r="C5" t="s" s="13">
        <v>11</v>
      </c>
      <c r="D5" t="s" s="14">
        <v>12</v>
      </c>
      <c r="E5" t="s" s="15">
        <v>13</v>
      </c>
    </row>
    <row r="6" ht="15" customHeight="1">
      <c r="A6" s="16"/>
      <c r="B6" t="s" s="17">
        <v>14</v>
      </c>
      <c r="C6" t="s" s="18">
        <v>15</v>
      </c>
      <c r="D6" t="s" s="19">
        <v>12</v>
      </c>
      <c r="E6" t="s" s="20">
        <v>16</v>
      </c>
    </row>
    <row r="7" ht="15" customHeight="1">
      <c r="A7" s="21"/>
      <c r="B7" t="s" s="17">
        <v>17</v>
      </c>
      <c r="C7" t="s" s="18">
        <v>18</v>
      </c>
      <c r="D7" t="s" s="19">
        <v>12</v>
      </c>
      <c r="E7" s="20"/>
    </row>
    <row r="8" ht="14.1" customHeight="1">
      <c r="A8" s="22"/>
      <c r="B8" t="s" s="17">
        <v>19</v>
      </c>
      <c r="C8" s="23" cm="1">
        <f t="array" ref="C8">('HardpointsRr'!C9*2+'HardpointsFr'!C9*2)/2</f>
        <v>1265</v>
      </c>
      <c r="D8" t="s" s="19">
        <v>12</v>
      </c>
      <c r="E8" s="20"/>
    </row>
    <row r="9" ht="13.5" customHeight="1">
      <c r="A9" s="24"/>
      <c r="B9" t="s" s="17">
        <v>20</v>
      </c>
      <c r="C9" s="23" cm="1">
        <f t="array" ref="C9">'HardpointsFr'!C9*2</f>
        <v>1280</v>
      </c>
      <c r="D9" t="s" s="19">
        <v>12</v>
      </c>
      <c r="E9" s="20"/>
    </row>
    <row r="10" ht="13.5" customHeight="1">
      <c r="A10" s="24"/>
      <c r="B10" t="s" s="17">
        <v>21</v>
      </c>
      <c r="C10" s="23" cm="1">
        <f t="array" ref="C10">'HardpointsRr'!C9*2</f>
        <v>1250</v>
      </c>
      <c r="D10" t="s" s="19">
        <v>12</v>
      </c>
      <c r="E10" s="25"/>
    </row>
    <row r="11" ht="13.5" customHeight="1">
      <c r="A11" s="16"/>
      <c r="B11" t="s" s="26">
        <v>22</v>
      </c>
      <c r="C11" s="27">
        <v>259.07</v>
      </c>
      <c r="D11" t="s" s="28">
        <v>23</v>
      </c>
      <c r="E11" t="s" s="29">
        <v>24</v>
      </c>
    </row>
  </sheetData>
  <mergeCells count="1">
    <mergeCell ref="A5:A1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34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30" customWidth="1"/>
    <col min="2" max="2" width="22.4375" style="30" customWidth="1"/>
    <col min="3" max="3" width="37.4297" style="30" customWidth="1"/>
    <col min="4" max="4" width="9.39844" style="30" customWidth="1"/>
    <col min="5" max="5" width="42.4375" style="30" customWidth="1"/>
    <col min="6" max="16384" width="8.85156" style="30" customWidth="1"/>
  </cols>
  <sheetData>
    <row r="1" ht="15" customHeight="1">
      <c r="A1" t="s" s="2">
        <v>0</v>
      </c>
      <c r="B1" t="s" s="3">
        <v>25</v>
      </c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t="s" s="8">
        <v>26</v>
      </c>
      <c r="D2" s="9"/>
      <c r="E2" s="10"/>
    </row>
    <row r="3" ht="14.1" customHeight="1">
      <c r="A3" t="s" s="6">
        <v>6</v>
      </c>
      <c r="B3" s="7"/>
      <c r="C3" t="s" s="8">
        <v>27</v>
      </c>
      <c r="D3" s="9"/>
      <c r="E3" s="10"/>
    </row>
    <row r="4" ht="14.1" customHeight="1">
      <c r="A4" t="s" s="6">
        <v>8</v>
      </c>
      <c r="B4" s="7"/>
      <c r="C4" t="s" s="8">
        <v>28</v>
      </c>
      <c r="D4" s="9"/>
      <c r="E4" s="10"/>
    </row>
    <row r="5" ht="14.1" customHeight="1">
      <c r="A5" t="s" s="11">
        <v>29</v>
      </c>
      <c r="B5" t="s" s="12">
        <v>30</v>
      </c>
      <c r="C5" t="str" s="31" cm="1">
        <f t="array" ref="C5">"["&amp;_xlfn.TEXTJOIN(" ",TRUE,'HardpointsFr'!B2/1000,'HardpointsFr'!C2/1000,'HardpointsFr'!D2/1000)&amp;"]"</f>
        <v>[-0,184907 0,234925 0,126241]</v>
      </c>
      <c r="D5" t="s" s="14">
        <v>12</v>
      </c>
      <c r="E5" t="s" s="15">
        <v>32</v>
      </c>
    </row>
    <row r="6" ht="15" customHeight="1">
      <c r="A6" s="16"/>
      <c r="B6" t="s" s="17">
        <v>33</v>
      </c>
      <c r="C6" t="str" s="32" cm="1">
        <f t="array" ref="C6">"["&amp;_xlfn.TEXTJOIN(" ",TRUE,'HardpointsFr'!B3/1000,'HardpointsFr'!C3/1000,'HardpointsFr'!D3/1000)&amp;"]"</f>
        <v>[0,182434 0,255272 0,126239]</v>
      </c>
      <c r="D6" t="s" s="19">
        <v>12</v>
      </c>
      <c r="E6" t="s" s="19">
        <v>32</v>
      </c>
    </row>
    <row r="7" ht="15" customHeight="1">
      <c r="A7" s="21"/>
      <c r="B7" t="s" s="17">
        <v>35</v>
      </c>
      <c r="C7" t="str" s="32" cm="1">
        <f t="array" ref="C7">"["&amp;_xlfn.TEXTJOIN(" ",TRUE,'HardpointsFr'!B4/1000,'HardpointsFr'!C4/1000,'HardpointsFr'!D4/1000)&amp;"]"</f>
        <v>[-0,012000 0,588501 0,141000]</v>
      </c>
      <c r="D7" t="s" s="19">
        <v>12</v>
      </c>
      <c r="E7" t="s" s="20">
        <v>32</v>
      </c>
    </row>
    <row r="8" ht="14.1" customHeight="1">
      <c r="A8" s="21"/>
      <c r="B8" t="s" s="26">
        <v>22</v>
      </c>
      <c r="C8" s="27">
        <v>0.165</v>
      </c>
      <c r="D8" t="s" s="28">
        <v>12</v>
      </c>
      <c r="E8" s="29"/>
    </row>
    <row r="9" ht="13.5" customHeight="1">
      <c r="A9" t="s" s="33">
        <v>37</v>
      </c>
      <c r="B9" t="s" s="12">
        <v>30</v>
      </c>
      <c r="C9" t="str" s="31" cm="1">
        <f t="array" ref="C9">"["&amp;_xlfn.TEXTJOIN(" ",TRUE,'HardpointsFr'!B5/1000,'HardpointsFr'!C5/1000,'HardpointsFr'!D5/1000)&amp;"]"</f>
        <v>[-0,132944 0,237912 0,326532]</v>
      </c>
      <c r="D9" t="s" s="14">
        <v>12</v>
      </c>
      <c r="E9" t="s" s="15">
        <v>32</v>
      </c>
    </row>
    <row r="10" ht="13.5" customHeight="1">
      <c r="A10" s="24"/>
      <c r="B10" t="s" s="17">
        <v>33</v>
      </c>
      <c r="C10" t="str" s="32" cm="1">
        <f t="array" ref="C10">"["&amp;_xlfn.TEXTJOIN(" ",TRUE,'HardpointsFr'!B6/1000,'HardpointsFr'!C6/1000,'HardpointsFr'!D6/1000)&amp;"]"</f>
        <v>[0,167448 0,254640 0,307812]</v>
      </c>
      <c r="D10" t="s" s="19">
        <v>12</v>
      </c>
      <c r="E10" t="s" s="19">
        <v>32</v>
      </c>
    </row>
    <row r="11" ht="13.5" customHeight="1">
      <c r="A11" s="24"/>
      <c r="B11" t="s" s="17">
        <v>35</v>
      </c>
      <c r="C11" t="str" s="32" cm="1">
        <f t="array" ref="C11">"["&amp;_xlfn.TEXTJOIN(" ",TRUE,'HardpointsFr'!B7/1000,'HardpointsFr'!C7/1000,'HardpointsFr'!D7/1000)&amp;"]"</f>
        <v>[0,012000 0,521000 0,370000]</v>
      </c>
      <c r="D11" t="s" s="19">
        <v>12</v>
      </c>
      <c r="E11" t="s" s="20">
        <v>32</v>
      </c>
    </row>
    <row r="12" ht="13.5" customHeight="1">
      <c r="A12" s="16"/>
      <c r="B12" t="s" s="26">
        <v>22</v>
      </c>
      <c r="C12" s="27">
        <v>0.12</v>
      </c>
      <c r="D12" t="s" s="28">
        <v>23</v>
      </c>
      <c r="E12" t="s" s="29">
        <v>24</v>
      </c>
    </row>
    <row r="13" ht="13.5" customHeight="1">
      <c r="A13" t="s" s="34">
        <v>41</v>
      </c>
      <c r="B13" t="s" s="12">
        <v>17</v>
      </c>
      <c r="C13" t="str" s="31" cm="1">
        <f t="array" ref="C13">"["&amp;_xlfn.TEXTJOIN(" ",TRUE,'HardpointsFr'!B8/1000,'HardpointsFr'!C8/1000,'HardpointsFr'!D8/1000)&amp;"]"</f>
        <v>[0,000000 0,640000 0,250827]</v>
      </c>
      <c r="D13" t="s" s="14">
        <v>12</v>
      </c>
      <c r="E13" t="s" s="15">
        <v>32</v>
      </c>
    </row>
    <row r="14" ht="13.5" customHeight="1">
      <c r="A14" s="21"/>
      <c r="B14" t="s" s="17">
        <v>43</v>
      </c>
      <c r="C14" t="str" s="32" cm="1">
        <f t="array" ref="C14">"["&amp;_xlfn.TEXTJOIN(" ",TRUE,'HardpointsFr'!B9/1000,'HardpointsFr'!C9/1000,'HardpointsFr'!D9/1000)&amp;"]"</f>
        <v>[0,000000 0,640000 0,250827]</v>
      </c>
      <c r="D14" t="s" s="19">
        <v>12</v>
      </c>
      <c r="E14" t="s" s="20">
        <v>32</v>
      </c>
    </row>
    <row r="15" ht="13.5" customHeight="1">
      <c r="A15" s="21"/>
      <c r="B15" t="s" s="17">
        <v>22</v>
      </c>
      <c r="C15" s="35">
        <v>1</v>
      </c>
      <c r="D15" t="s" s="19">
        <v>23</v>
      </c>
      <c r="E15" s="25"/>
    </row>
    <row r="16" ht="13.5" customHeight="1">
      <c r="A16" s="22"/>
      <c r="B16" t="s" s="17">
        <v>44</v>
      </c>
      <c r="C16" s="35">
        <v>0</v>
      </c>
      <c r="D16" t="s" s="19">
        <v>45</v>
      </c>
      <c r="E16" s="20"/>
    </row>
    <row r="17" ht="13.5" customHeight="1">
      <c r="A17" s="24"/>
      <c r="B17" t="s" s="17">
        <v>46</v>
      </c>
      <c r="C17" s="35">
        <v>-1</v>
      </c>
      <c r="D17" t="s" s="19">
        <v>45</v>
      </c>
      <c r="E17" s="20"/>
    </row>
    <row r="18" ht="13.5" customHeight="1">
      <c r="A18" s="24"/>
      <c r="B18" t="s" s="17">
        <v>47</v>
      </c>
      <c r="C18" s="32"/>
      <c r="D18" t="s" s="19">
        <v>12</v>
      </c>
      <c r="E18" s="20"/>
    </row>
    <row r="19" ht="13.5" customHeight="1">
      <c r="A19" s="24"/>
      <c r="B19" t="s" s="17">
        <v>48</v>
      </c>
      <c r="C19" s="32"/>
      <c r="D19" t="s" s="19">
        <v>12</v>
      </c>
      <c r="E19" s="20"/>
    </row>
    <row r="20" ht="13.5" customHeight="1">
      <c r="A20" s="16"/>
      <c r="B20" t="s" s="26">
        <v>49</v>
      </c>
      <c r="C20" s="36"/>
      <c r="D20" t="s" s="28">
        <v>23</v>
      </c>
      <c r="E20" s="29"/>
    </row>
    <row r="21" ht="13.5" customHeight="1">
      <c r="A21" t="s" s="37">
        <v>50</v>
      </c>
      <c r="B21" t="s" s="12">
        <v>51</v>
      </c>
      <c r="C21" t="str" s="31" cm="1">
        <f t="array" ref="C21">"["&amp;_xlfn.TEXTJOIN(" ",TRUE,'HardpointsFr'!B10/1000,'HardpointsFr'!C10/1000,'HardpointsFr'!D10/1000)&amp;"]"</f>
        <v>[-0,104241 0,250000 0,171053]</v>
      </c>
      <c r="D21" t="s" s="14">
        <v>12</v>
      </c>
      <c r="E21" t="s" s="15">
        <v>32</v>
      </c>
    </row>
    <row r="22" ht="13.5" customHeight="1">
      <c r="A22" s="24"/>
      <c r="B22" t="s" s="17">
        <v>35</v>
      </c>
      <c r="C22" t="str" s="32" cm="1">
        <f t="array" ref="C22">"["&amp;_xlfn.TEXTJOIN(" ",TRUE,'HardpointsFr'!B11/1000,'HardpointsFr'!C11/1000,'HardpointsFr'!D11/1000)&amp;"]"</f>
        <v>[-0,086252 0,575546 0,195000]</v>
      </c>
      <c r="D22" t="s" s="19">
        <v>12</v>
      </c>
      <c r="E22" t="s" s="19">
        <v>32</v>
      </c>
    </row>
    <row r="23" ht="13.5" customHeight="1">
      <c r="A23" s="16"/>
      <c r="B23" t="s" s="26">
        <v>22</v>
      </c>
      <c r="C23" s="36"/>
      <c r="D23" t="s" s="28">
        <v>23</v>
      </c>
      <c r="E23" s="29"/>
    </row>
    <row r="24" ht="13.5" customHeight="1">
      <c r="A24" t="s" s="37">
        <v>54</v>
      </c>
      <c r="B24" t="s" s="12">
        <v>55</v>
      </c>
      <c r="C24" t="str" s="31" cm="1">
        <f t="array" ref="C24">"["&amp;_xlfn.TEXTJOIN(" ",TRUE,'HardpointsFr'!B12/1000,'HardpointsFr'!C12/1000,'HardpointsFr'!D12/1000)&amp;"]"</f>
        <v>[-0,011157 0,233131 0,517551]</v>
      </c>
      <c r="D24" t="s" s="14">
        <v>12</v>
      </c>
      <c r="E24" t="s" s="15">
        <v>32</v>
      </c>
    </row>
    <row r="25" ht="13.5" customHeight="1">
      <c r="A25" s="24"/>
      <c r="B25" t="s" s="17">
        <v>57</v>
      </c>
      <c r="C25" t="str" s="32" cm="1">
        <f t="array" ref="C25">"["&amp;_xlfn.TEXTJOIN(" ",TRUE,'HardpointsFr'!B13/1000,'HardpointsFr'!C13/1000,'HardpointsFr'!D13/1000)&amp;"]"</f>
        <v>[-0,011485 0,317842 0,362430]</v>
      </c>
      <c r="D25" t="s" s="19">
        <v>12</v>
      </c>
      <c r="E25" t="s" s="20">
        <v>32</v>
      </c>
    </row>
    <row r="26" ht="13.5" customHeight="1">
      <c r="A26" s="16"/>
      <c r="B26" t="s" s="26">
        <v>22</v>
      </c>
      <c r="C26" s="27">
        <v>2</v>
      </c>
      <c r="D26" t="s" s="28">
        <v>23</v>
      </c>
      <c r="E26" s="29"/>
    </row>
    <row r="27" ht="13.5" customHeight="1">
      <c r="A27" t="s" s="37">
        <v>59</v>
      </c>
      <c r="B27" t="s" s="12">
        <v>60</v>
      </c>
      <c r="C27" s="38">
        <v>0.028</v>
      </c>
      <c r="D27" t="s" s="14">
        <v>12</v>
      </c>
      <c r="E27" s="15"/>
    </row>
    <row r="28" ht="13.5" customHeight="1">
      <c r="A28" s="16"/>
      <c r="B28" t="s" s="26">
        <v>61</v>
      </c>
      <c r="C28" s="27">
        <v>-0.028</v>
      </c>
      <c r="D28" t="s" s="28">
        <v>12</v>
      </c>
      <c r="E28" s="29"/>
    </row>
    <row r="29" ht="13.5" customHeight="1">
      <c r="A29" t="s" s="37">
        <v>62</v>
      </c>
      <c r="B29" t="s" s="12">
        <v>51</v>
      </c>
      <c r="C29" t="str" s="31" cm="1">
        <f t="array" ref="C29">"["&amp;_xlfn.TEXTJOIN(" ",TRUE,'HardpointsFr'!B15/1000,'HardpointsFr'!C15/1000,'HardpointsFr'!D15/1000)&amp;"]"</f>
        <v>[-0,011489 0,351537 0,360943]</v>
      </c>
      <c r="D29" t="s" s="14">
        <v>12</v>
      </c>
      <c r="E29" t="s" s="15">
        <v>32</v>
      </c>
    </row>
    <row r="30" ht="13.5" customHeight="1">
      <c r="A30" s="24"/>
      <c r="B30" t="s" s="17">
        <v>35</v>
      </c>
      <c r="C30" t="str" s="32" cm="1">
        <f t="array" ref="C30">"["&amp;_xlfn.TEXTJOIN(" ",TRUE,'HardpointsFr'!B14/1000,'HardpointsFr'!C14/1000,'HardpointsFr'!D14/1000)&amp;"]"</f>
        <v>[-0,011917 0,547360 0,169145]</v>
      </c>
      <c r="D30" t="s" s="19">
        <v>12</v>
      </c>
      <c r="E30" t="s" s="19">
        <v>32</v>
      </c>
    </row>
    <row r="31" ht="13.5" customHeight="1">
      <c r="A31" s="16"/>
      <c r="B31" t="s" s="26">
        <v>22</v>
      </c>
      <c r="C31" s="27">
        <v>0.1</v>
      </c>
      <c r="D31" t="s" s="28">
        <v>23</v>
      </c>
      <c r="E31" s="29"/>
    </row>
    <row r="32" ht="13.5" customHeight="1">
      <c r="A32" t="s" s="37">
        <v>65</v>
      </c>
      <c r="B32" t="s" s="12">
        <v>66</v>
      </c>
      <c r="C32" t="str" s="31" cm="1">
        <f t="array" ref="C32">"["&amp;_xlfn.TEXTJOIN(" ",TRUE,'HardpointsFr'!B16/1000,'HardpointsFr'!C16/1000,'HardpointsFr'!D16/1000)&amp;"]"</f>
        <v>[-0,011558 0,244431 0,328198]</v>
      </c>
      <c r="D32" t="s" s="14">
        <v>12</v>
      </c>
      <c r="E32" t="s" s="15">
        <v>32</v>
      </c>
    </row>
    <row r="33" ht="13.5" customHeight="1">
      <c r="A33" s="24"/>
      <c r="B33" t="s" s="17">
        <v>68</v>
      </c>
      <c r="C33" t="str" s="32" cm="1">
        <f t="array" ref="C33">"["&amp;_xlfn.TEXTJOIN(" ",TRUE,'HardpointsFr'!B19/1000,'HardpointsFr'!C19/1000,'HardpointsFr'!D19/1000)&amp;"]"</f>
        <v>[-0,011531 0,286508 0,331062]</v>
      </c>
      <c r="D33" t="s" s="19">
        <v>12</v>
      </c>
      <c r="E33" t="s" s="19">
        <v>32</v>
      </c>
    </row>
    <row r="34" ht="13.5" customHeight="1">
      <c r="A34" s="16"/>
      <c r="B34" t="s" s="26">
        <v>22</v>
      </c>
      <c r="C34" s="27">
        <v>0.4</v>
      </c>
      <c r="D34" t="s" s="28">
        <v>23</v>
      </c>
      <c r="E34" s="29"/>
    </row>
  </sheetData>
  <mergeCells count="8">
    <mergeCell ref="A5:A8"/>
    <mergeCell ref="A9:A12"/>
    <mergeCell ref="A13:A20"/>
    <mergeCell ref="A21:A23"/>
    <mergeCell ref="A29:A31"/>
    <mergeCell ref="A32:A34"/>
    <mergeCell ref="A24:A26"/>
    <mergeCell ref="A27:A2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E10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39" customWidth="1"/>
    <col min="2" max="2" width="22.4375" style="39" customWidth="1"/>
    <col min="3" max="3" width="37.4297" style="39" customWidth="1"/>
    <col min="4" max="4" width="9.39844" style="39" customWidth="1"/>
    <col min="5" max="5" width="42.4375" style="39" customWidth="1"/>
    <col min="6" max="16384" width="8.85156" style="39" customWidth="1"/>
  </cols>
  <sheetData>
    <row r="1" ht="76.4" customHeight="1"/>
    <row r="2" ht="15" customHeight="1">
      <c r="A2" t="s" s="2">
        <v>0</v>
      </c>
      <c r="B2" t="s" s="3">
        <v>25</v>
      </c>
      <c r="C2" t="s" s="4">
        <v>1</v>
      </c>
      <c r="D2" t="s" s="4">
        <v>2</v>
      </c>
      <c r="E2" t="s" s="5">
        <v>3</v>
      </c>
    </row>
    <row r="3" ht="14.1" customHeight="1">
      <c r="A3" t="s" s="6">
        <v>4</v>
      </c>
      <c r="B3" s="7"/>
      <c r="C3" t="s" s="8">
        <v>70</v>
      </c>
      <c r="D3" s="9"/>
      <c r="E3" s="10"/>
    </row>
    <row r="4" ht="14.1" customHeight="1">
      <c r="A4" t="s" s="6">
        <v>6</v>
      </c>
      <c r="B4" s="7"/>
      <c r="C4" t="s" s="8">
        <v>71</v>
      </c>
      <c r="D4" s="9"/>
      <c r="E4" s="10"/>
    </row>
    <row r="5" ht="14.1" customHeight="1">
      <c r="A5" t="s" s="6">
        <v>8</v>
      </c>
      <c r="B5" s="7"/>
      <c r="C5" t="s" s="8">
        <v>72</v>
      </c>
      <c r="D5" s="9"/>
      <c r="E5" s="10"/>
    </row>
    <row r="6" ht="13.5" customHeight="1">
      <c r="A6" t="s" s="34">
        <v>73</v>
      </c>
      <c r="B6" t="s" s="12">
        <v>74</v>
      </c>
      <c r="C6" t="str" s="31" cm="1">
        <f t="array" ref="C6">"["&amp;_xlfn.TEXTJOIN(" ",TRUE,'HardpointsFr'!B19/1000,'HardpointsFr'!C19/1000,'HardpointsFr'!D19/1000)&amp;"]"</f>
        <v>[-0,011531 0,286508 0,331062]</v>
      </c>
      <c r="D6" t="s" s="14">
        <v>12</v>
      </c>
      <c r="E6" t="s" s="15">
        <v>32</v>
      </c>
    </row>
    <row r="7" ht="13.5" customHeight="1">
      <c r="A7" s="22"/>
      <c r="B7" t="s" s="17">
        <v>51</v>
      </c>
      <c r="C7" t="str" s="32" cm="1">
        <f t="array" ref="C7">"["&amp;_xlfn.TEXTJOIN(" ",TRUE,'HardpointsFr'!B17/1000,'HardpointsFr'!C17/1000,'HardpointsFr'!D17/1000)&amp;"]"</f>
        <v>[0,067965 0,262855 0,101350]</v>
      </c>
      <c r="D7" t="s" s="19">
        <v>12</v>
      </c>
      <c r="E7" t="s" s="20">
        <v>32</v>
      </c>
    </row>
    <row r="8" ht="13.5" customHeight="1">
      <c r="A8" s="24"/>
      <c r="B8" t="s" s="17">
        <v>35</v>
      </c>
      <c r="C8" t="str" s="32" cm="1">
        <f t="array" ref="C8">"["&amp;_xlfn.TEXTJOIN(" ",TRUE,'HardpointsFr'!B18/1000,'HardpointsFr'!C18/1000,'HardpointsFr'!D18/1000)&amp;"]"</f>
        <v>[-0,012038 0,262849 0,101519]</v>
      </c>
      <c r="D8" t="s" s="19">
        <v>12</v>
      </c>
      <c r="E8" t="s" s="20">
        <v>32</v>
      </c>
    </row>
    <row r="9" ht="13.5" customHeight="1">
      <c r="A9" s="24"/>
      <c r="B9" t="s" s="17">
        <v>77</v>
      </c>
      <c r="C9" s="40">
        <v>81.93300000000001</v>
      </c>
      <c r="D9" t="s" s="19">
        <v>78</v>
      </c>
      <c r="E9" s="20"/>
    </row>
    <row r="10" ht="13.5" customHeight="1">
      <c r="A10" s="16"/>
      <c r="B10" t="s" s="26">
        <v>22</v>
      </c>
      <c r="C10" s="27">
        <v>0.7</v>
      </c>
      <c r="D10" t="s" s="28">
        <v>23</v>
      </c>
      <c r="E10" s="29"/>
    </row>
  </sheetData>
  <mergeCells count="1">
    <mergeCell ref="A6:A1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41" customWidth="1"/>
    <col min="2" max="2" width="22.4375" style="41" customWidth="1"/>
    <col min="3" max="3" width="37.4297" style="41" customWidth="1"/>
    <col min="4" max="4" width="9.39844" style="41" customWidth="1"/>
    <col min="5" max="5" width="42.4375" style="41" customWidth="1"/>
    <col min="6" max="16384" width="8.85156" style="41" customWidth="1"/>
  </cols>
  <sheetData>
    <row r="1" ht="15" customHeight="1">
      <c r="A1" t="s" s="2">
        <v>0</v>
      </c>
      <c r="B1" t="s" s="3">
        <v>25</v>
      </c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t="s" s="8">
        <v>79</v>
      </c>
      <c r="D2" s="9"/>
      <c r="E2" s="10"/>
    </row>
    <row r="3" ht="14.1" customHeight="1">
      <c r="A3" t="s" s="6">
        <v>6</v>
      </c>
      <c r="B3" s="7"/>
      <c r="C3" t="s" s="8">
        <v>80</v>
      </c>
      <c r="D3" s="9"/>
      <c r="E3" s="10"/>
    </row>
    <row r="4" ht="14.1" customHeight="1">
      <c r="A4" t="s" s="6">
        <v>8</v>
      </c>
      <c r="B4" s="7"/>
      <c r="C4" t="s" s="8">
        <v>81</v>
      </c>
      <c r="D4" s="9"/>
      <c r="E4" s="10"/>
    </row>
    <row r="5" ht="13.5" customHeight="1">
      <c r="A5" t="s" s="37">
        <v>82</v>
      </c>
      <c r="B5" t="s" s="12">
        <v>83</v>
      </c>
      <c r="C5" s="31"/>
      <c r="D5" t="s" s="14">
        <v>12</v>
      </c>
      <c r="E5" t="s" s="15">
        <v>32</v>
      </c>
    </row>
    <row r="6" ht="13.5" customHeight="1">
      <c r="A6" s="24"/>
      <c r="B6" t="s" s="17">
        <v>84</v>
      </c>
      <c r="C6" s="32"/>
      <c r="D6" t="s" s="19">
        <v>23</v>
      </c>
      <c r="E6" s="25"/>
    </row>
    <row r="7" ht="13.5" customHeight="1">
      <c r="A7" s="24"/>
      <c r="B7" t="s" s="17">
        <v>85</v>
      </c>
      <c r="C7" s="32"/>
      <c r="D7" t="s" s="19">
        <v>12</v>
      </c>
      <c r="E7" t="s" s="19">
        <v>32</v>
      </c>
    </row>
    <row r="8" ht="13.5" customHeight="1">
      <c r="A8" s="24"/>
      <c r="B8" t="s" s="17">
        <v>86</v>
      </c>
      <c r="C8" s="32"/>
      <c r="D8" t="s" s="19">
        <v>23</v>
      </c>
      <c r="E8" s="20"/>
    </row>
    <row r="9" ht="13.5" customHeight="1">
      <c r="A9" s="24"/>
      <c r="B9" t="s" s="17">
        <v>87</v>
      </c>
      <c r="C9" s="32"/>
      <c r="D9" t="s" s="19">
        <v>23</v>
      </c>
      <c r="E9" s="20"/>
    </row>
    <row r="10" ht="13.5" customHeight="1">
      <c r="A10" s="24"/>
      <c r="B10" t="s" s="17">
        <v>88</v>
      </c>
      <c r="C10" s="32"/>
      <c r="D10" t="s" s="19">
        <v>89</v>
      </c>
      <c r="E10" s="20"/>
    </row>
    <row r="11" ht="13.5" customHeight="1">
      <c r="A11" s="24"/>
      <c r="B11" t="s" s="17">
        <v>90</v>
      </c>
      <c r="C11" s="32"/>
      <c r="D11" t="s" s="19">
        <v>12</v>
      </c>
      <c r="E11" s="20"/>
    </row>
  </sheetData>
  <mergeCells count="1">
    <mergeCell ref="A5:A1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34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42" customWidth="1"/>
    <col min="2" max="2" width="22.4375" style="42" customWidth="1"/>
    <col min="3" max="3" width="37.4297" style="42" customWidth="1"/>
    <col min="4" max="4" width="9.39844" style="42" customWidth="1"/>
    <col min="5" max="5" width="42.4375" style="42" customWidth="1"/>
    <col min="6" max="16384" width="8.85156" style="42" customWidth="1"/>
  </cols>
  <sheetData>
    <row r="1" ht="15" customHeight="1">
      <c r="A1" t="s" s="2">
        <v>0</v>
      </c>
      <c r="B1" t="s" s="3">
        <v>25</v>
      </c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t="s" s="8">
        <v>26</v>
      </c>
      <c r="D2" s="9"/>
      <c r="E2" s="10"/>
    </row>
    <row r="3" ht="14.1" customHeight="1">
      <c r="A3" t="s" s="6">
        <v>6</v>
      </c>
      <c r="B3" s="7"/>
      <c r="C3" t="s" s="8">
        <v>27</v>
      </c>
      <c r="D3" s="9"/>
      <c r="E3" s="10"/>
    </row>
    <row r="4" ht="14.1" customHeight="1">
      <c r="A4" t="s" s="6">
        <v>8</v>
      </c>
      <c r="B4" s="7"/>
      <c r="C4" t="s" s="8">
        <v>28</v>
      </c>
      <c r="D4" s="9"/>
      <c r="E4" s="10"/>
    </row>
    <row r="5" ht="14.1" customHeight="1">
      <c r="A5" t="s" s="11">
        <v>29</v>
      </c>
      <c r="B5" t="s" s="12">
        <v>30</v>
      </c>
      <c r="C5" t="str" s="31" cm="1">
        <f t="array" ref="C5">"["&amp;_xlfn.TEXTJOIN(" ",TRUE,'HardpointsRr'!B2/1000,'HardpointsRr'!C2/1000,'HardpointsRr'!D2/1000)&amp;"]"</f>
        <v>[-0,166149 0,334489 0,126216]</v>
      </c>
      <c r="D5" t="s" s="14">
        <v>12</v>
      </c>
      <c r="E5" t="s" s="15">
        <v>13</v>
      </c>
    </row>
    <row r="6" ht="15" customHeight="1">
      <c r="A6" s="16"/>
      <c r="B6" t="s" s="17">
        <v>33</v>
      </c>
      <c r="C6" t="str" s="32" cm="1">
        <f t="array" ref="C6">"["&amp;_xlfn.TEXTJOIN(" ",TRUE,'HardpointsRr'!B3/1000,'HardpointsRr'!C3/1000,'HardpointsRr'!D3/1000)&amp;"]"</f>
        <v>[0,224859 0,309894 0,126188]</v>
      </c>
      <c r="D6" t="s" s="19">
        <v>12</v>
      </c>
      <c r="E6" t="s" s="20">
        <v>16</v>
      </c>
    </row>
    <row r="7" ht="15" customHeight="1">
      <c r="A7" s="21"/>
      <c r="B7" t="s" s="17">
        <v>35</v>
      </c>
      <c r="C7" t="str" s="32" cm="1">
        <f t="array" ref="C7">"["&amp;_xlfn.TEXTJOIN(" ",TRUE,'HardpointsRr'!B4/1000,'HardpointsRr'!C4/1000,'HardpointsRr'!D4/1000)&amp;"]"</f>
        <v>[0,004278 0,574000 0,132500]</v>
      </c>
      <c r="D7" t="s" s="19">
        <v>12</v>
      </c>
      <c r="E7" s="20"/>
    </row>
    <row r="8" ht="14.1" customHeight="1">
      <c r="A8" s="21"/>
      <c r="B8" t="s" s="26">
        <v>22</v>
      </c>
      <c r="C8" s="27">
        <v>0.165</v>
      </c>
      <c r="D8" t="s" s="28">
        <v>12</v>
      </c>
      <c r="E8" s="29"/>
    </row>
    <row r="9" ht="13.5" customHeight="1">
      <c r="A9" t="s" s="33">
        <v>37</v>
      </c>
      <c r="B9" t="s" s="12">
        <v>30</v>
      </c>
      <c r="C9" t="str" s="31" cm="1">
        <f t="array" ref="C9">"["&amp;_xlfn.TEXTJOIN(" ",TRUE,'HardpointsRr'!B5/1000,'HardpointsRr'!C5/1000,'HardpointsRr'!D5/1000)&amp;"]"</f>
        <v>[-0,162142 0,330769 0,335182]</v>
      </c>
      <c r="D9" t="s" s="14">
        <v>12</v>
      </c>
      <c r="E9" s="15"/>
    </row>
    <row r="10" ht="13.5" customHeight="1">
      <c r="A10" s="24"/>
      <c r="B10" t="s" s="17">
        <v>33</v>
      </c>
      <c r="C10" t="str" s="32" cm="1">
        <f t="array" ref="C10">"["&amp;_xlfn.TEXTJOIN(" ",TRUE,'HardpointsRr'!B6/1000,'HardpointsRr'!C6/1000,'HardpointsRr'!D6/1000)&amp;"]"</f>
        <v>[0,229308 0,293653 0,356806]</v>
      </c>
      <c r="D10" t="s" s="19">
        <v>12</v>
      </c>
      <c r="E10" s="25"/>
    </row>
    <row r="11" ht="13.5" customHeight="1">
      <c r="A11" s="24"/>
      <c r="B11" t="s" s="17">
        <v>35</v>
      </c>
      <c r="C11" t="str" s="32" cm="1">
        <f t="array" ref="C11">"["&amp;_xlfn.TEXTJOIN(" ",TRUE,'HardpointsRr'!B7/1000,'HardpointsRr'!C7/1000,'HardpointsRr'!D7/1000)&amp;"]"</f>
        <v>[-0,004295 0,508715 0,378000]</v>
      </c>
      <c r="D11" t="s" s="19">
        <v>12</v>
      </c>
      <c r="E11" s="25"/>
    </row>
    <row r="12" ht="13.5" customHeight="1">
      <c r="A12" s="16"/>
      <c r="B12" t="s" s="26">
        <v>22</v>
      </c>
      <c r="C12" s="27">
        <v>0.12</v>
      </c>
      <c r="D12" t="s" s="28">
        <v>23</v>
      </c>
      <c r="E12" t="s" s="29">
        <v>24</v>
      </c>
    </row>
    <row r="13" ht="13.5" customHeight="1">
      <c r="A13" t="s" s="34">
        <v>41</v>
      </c>
      <c r="B13" t="s" s="12">
        <v>17</v>
      </c>
      <c r="C13" t="str" s="31" cm="1">
        <f t="array" ref="C13">"["&amp;_xlfn.TEXTJOIN(" ",TRUE,'HardpointsRr'!B8/1000,'HardpointsRr'!C8/1000,'HardpointsRr'!D8/1000)&amp;"]"</f>
        <v>[0,000000 0,625000 0,250827]</v>
      </c>
      <c r="D13" t="s" s="14">
        <v>12</v>
      </c>
      <c r="E13" s="43"/>
    </row>
    <row r="14" ht="13.5" customHeight="1">
      <c r="A14" s="21"/>
      <c r="B14" t="s" s="17">
        <v>43</v>
      </c>
      <c r="C14" t="str" s="32" cm="1">
        <f t="array" ref="C14">"["&amp;_xlfn.TEXTJOIN(" ",TRUE,'HardpointsRr'!B9/1000,'HardpointsRr'!C9/1000,'HardpointsRr'!D9/1000)&amp;"]"</f>
        <v>[0,000000 0,625000 0,250827]</v>
      </c>
      <c r="D14" t="s" s="19">
        <v>12</v>
      </c>
      <c r="E14" s="25"/>
    </row>
    <row r="15" ht="13.5" customHeight="1">
      <c r="A15" s="21"/>
      <c r="B15" t="s" s="17">
        <v>22</v>
      </c>
      <c r="C15" s="35">
        <v>1</v>
      </c>
      <c r="D15" t="s" s="19">
        <v>23</v>
      </c>
      <c r="E15" s="25"/>
    </row>
    <row r="16" ht="13.5" customHeight="1">
      <c r="A16" s="22"/>
      <c r="B16" t="s" s="17">
        <v>44</v>
      </c>
      <c r="C16" s="35">
        <v>0</v>
      </c>
      <c r="D16" t="s" s="19">
        <v>45</v>
      </c>
      <c r="E16" s="20"/>
    </row>
    <row r="17" ht="13.5" customHeight="1">
      <c r="A17" s="24"/>
      <c r="B17" t="s" s="17">
        <v>46</v>
      </c>
      <c r="C17" s="35">
        <v>-1</v>
      </c>
      <c r="D17" t="s" s="19">
        <v>45</v>
      </c>
      <c r="E17" s="20"/>
    </row>
    <row r="18" ht="13.5" customHeight="1">
      <c r="A18" s="24"/>
      <c r="B18" t="s" s="17">
        <v>47</v>
      </c>
      <c r="C18" s="32"/>
      <c r="D18" t="s" s="19">
        <v>12</v>
      </c>
      <c r="E18" s="20"/>
    </row>
    <row r="19" ht="13.5" customHeight="1">
      <c r="A19" s="24"/>
      <c r="B19" t="s" s="17">
        <v>48</v>
      </c>
      <c r="C19" s="32"/>
      <c r="D19" t="s" s="19">
        <v>12</v>
      </c>
      <c r="E19" s="20"/>
    </row>
    <row r="20" ht="13.5" customHeight="1">
      <c r="A20" s="16"/>
      <c r="B20" t="s" s="26">
        <v>49</v>
      </c>
      <c r="C20" s="36"/>
      <c r="D20" t="s" s="28">
        <v>23</v>
      </c>
      <c r="E20" s="29"/>
    </row>
    <row r="21" ht="13.5" customHeight="1">
      <c r="A21" t="s" s="37">
        <v>98</v>
      </c>
      <c r="B21" t="s" s="12">
        <v>51</v>
      </c>
      <c r="C21" t="str" s="31" cm="1">
        <f t="array" ref="C21">"["&amp;_xlfn.TEXTJOIN(" ",TRUE,'HardpointsRr'!B10/1000,'HardpointsRr'!C10/1000,'HardpointsRr'!D10/1000)&amp;"]"</f>
        <v>[0,257113 0,301223 0,194314]</v>
      </c>
      <c r="D21" t="s" s="14">
        <v>12</v>
      </c>
      <c r="E21" s="15"/>
    </row>
    <row r="22" ht="13.5" customHeight="1">
      <c r="A22" s="24"/>
      <c r="B22" t="s" s="17">
        <v>35</v>
      </c>
      <c r="C22" t="str" s="32" cm="1">
        <f t="array" ref="C22">"["&amp;_xlfn.TEXTJOIN(" ",TRUE,'HardpointsRr'!B11/1000,'HardpointsRr'!C11/1000,'HardpointsRr'!D11/1000)&amp;"]"</f>
        <v>[0,101222 0,578000 0,220000]</v>
      </c>
      <c r="D22" t="s" s="19">
        <v>12</v>
      </c>
      <c r="E22" s="20"/>
    </row>
    <row r="23" ht="13.5" customHeight="1">
      <c r="A23" s="16"/>
      <c r="B23" t="s" s="26">
        <v>22</v>
      </c>
      <c r="C23" s="36"/>
      <c r="D23" t="s" s="28">
        <v>23</v>
      </c>
      <c r="E23" s="29"/>
    </row>
    <row r="24" ht="13.5" customHeight="1">
      <c r="A24" t="s" s="33">
        <v>54</v>
      </c>
      <c r="B24" t="s" s="12">
        <v>55</v>
      </c>
      <c r="C24" t="str" s="31" cm="1">
        <f t="array" ref="C24">"["&amp;_xlfn.TEXTJOIN(" ",TRUE,'HardpointsRr'!B12/1000,'HardpointsRr'!C12/1000,'HardpointsRr'!D12/1000)&amp;"]"</f>
        <v>[-0,180976 0,283390 0,436103]</v>
      </c>
      <c r="D24" t="s" s="14">
        <v>12</v>
      </c>
      <c r="E24" s="15"/>
    </row>
    <row r="25" ht="13.5" customHeight="1">
      <c r="A25" s="24"/>
      <c r="B25" t="s" s="17">
        <v>57</v>
      </c>
      <c r="C25" t="str" s="32" cm="1">
        <f t="array" ref="C25">"["&amp;_xlfn.TEXTJOIN(" ",TRUE,'HardpointsRr'!B13/1000,'HardpointsRr'!C13/1000,'HardpointsRr'!D13/1000)&amp;"]"</f>
        <v>[0,004111 0,267073 0,484010]</v>
      </c>
      <c r="D25" t="s" s="19">
        <v>12</v>
      </c>
      <c r="E25" s="20"/>
    </row>
    <row r="26" ht="13.5" customHeight="1">
      <c r="A26" s="16"/>
      <c r="B26" t="s" s="26">
        <v>22</v>
      </c>
      <c r="C26" s="27">
        <v>2</v>
      </c>
      <c r="D26" t="s" s="28">
        <v>23</v>
      </c>
      <c r="E26" s="29"/>
    </row>
    <row r="27" ht="13.5" customHeight="1">
      <c r="A27" t="s" s="33">
        <v>59</v>
      </c>
      <c r="B27" t="s" s="12">
        <v>60</v>
      </c>
      <c r="C27" s="38">
        <v>0.028</v>
      </c>
      <c r="D27" t="s" s="14">
        <v>12</v>
      </c>
      <c r="E27" s="15"/>
    </row>
    <row r="28" ht="13.5" customHeight="1">
      <c r="A28" s="16"/>
      <c r="B28" t="s" s="26">
        <v>61</v>
      </c>
      <c r="C28" s="27">
        <v>-0.028</v>
      </c>
      <c r="D28" t="s" s="28">
        <v>12</v>
      </c>
      <c r="E28" s="29"/>
    </row>
    <row r="29" ht="13.5" customHeight="1">
      <c r="A29" t="s" s="37">
        <v>62</v>
      </c>
      <c r="B29" t="s" s="12">
        <v>51</v>
      </c>
      <c r="C29" t="str" s="31" cm="1">
        <f t="array" ref="C29">"["&amp;_xlfn.TEXTJOIN(" ",TRUE,'HardpointsRr'!B19/1000,'HardpointsRr'!C19/1000,'HardpointsRr'!D19/1000)&amp;"]"</f>
        <v>[0,089612 0,349047 0,403924]</v>
      </c>
      <c r="D29" t="s" s="14">
        <v>12</v>
      </c>
      <c r="E29" s="15"/>
    </row>
    <row r="30" ht="13.5" customHeight="1">
      <c r="A30" s="24"/>
      <c r="B30" t="s" s="17">
        <v>35</v>
      </c>
      <c r="C30" t="str" s="32" cm="1">
        <f t="array" ref="C30">"["&amp;_xlfn.TEXTJOIN(" ",TRUE,'HardpointsRr'!B18/1000,'HardpointsRr'!C18/1000,'HardpointsRr'!D18/1000)&amp;"]"</f>
        <v>[0,022298 0,527859 0,152504]</v>
      </c>
      <c r="D30" t="s" s="19">
        <v>12</v>
      </c>
      <c r="E30" s="20"/>
    </row>
    <row r="31" ht="13.5" customHeight="1">
      <c r="A31" s="16"/>
      <c r="B31" t="s" s="26">
        <v>22</v>
      </c>
      <c r="C31" s="27">
        <v>0.1</v>
      </c>
      <c r="D31" t="s" s="28">
        <v>23</v>
      </c>
      <c r="E31" s="29"/>
    </row>
    <row r="32" ht="13.5" customHeight="1">
      <c r="A32" t="s" s="37">
        <v>65</v>
      </c>
      <c r="B32" t="s" s="12">
        <v>66</v>
      </c>
      <c r="C32" t="str" s="31" cm="1">
        <f t="array" ref="C32">"["&amp;_xlfn.TEXTJOIN(" ",TRUE,'HardpointsRr'!B17/1000,'HardpointsRr'!C17/1000,'HardpointsRr'!D17/1000)&amp;"]"</f>
        <v>[0,010771 0,318427 0,426360]</v>
      </c>
      <c r="D32" t="s" s="14">
        <v>12</v>
      </c>
      <c r="E32" s="15"/>
    </row>
    <row r="33" ht="13.5" customHeight="1">
      <c r="A33" s="24"/>
      <c r="B33" t="s" s="17">
        <v>68</v>
      </c>
      <c r="C33" t="str" s="32" cm="1">
        <f t="array" ref="C33">"["&amp;_xlfn.TEXTJOIN(" ",TRUE,'HardpointsRr'!B16/1000,'HardpointsRr'!C16/1000,'HardpointsRr'!D16/1000)&amp;"]"</f>
        <v>[0,050000 0,287567 0,463988]</v>
      </c>
      <c r="D33" t="s" s="19">
        <v>12</v>
      </c>
      <c r="E33" s="20"/>
    </row>
    <row r="34" ht="13.5" customHeight="1">
      <c r="A34" s="16"/>
      <c r="B34" t="s" s="26">
        <v>22</v>
      </c>
      <c r="C34" s="27">
        <v>0.4</v>
      </c>
      <c r="D34" t="s" s="28">
        <v>23</v>
      </c>
      <c r="E34" s="29"/>
    </row>
  </sheetData>
  <mergeCells count="8">
    <mergeCell ref="A5:A8"/>
    <mergeCell ref="A9:A12"/>
    <mergeCell ref="A13:A20"/>
    <mergeCell ref="A21:A23"/>
    <mergeCell ref="A29:A31"/>
    <mergeCell ref="A32:A34"/>
    <mergeCell ref="A24:A26"/>
    <mergeCell ref="A27:A2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9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44" customWidth="1"/>
    <col min="2" max="2" width="22.4375" style="44" customWidth="1"/>
    <col min="3" max="3" width="37.4297" style="44" customWidth="1"/>
    <col min="4" max="4" width="9.39844" style="44" customWidth="1"/>
    <col min="5" max="5" width="42.4375" style="44" customWidth="1"/>
    <col min="6" max="16384" width="8.85156" style="44" customWidth="1"/>
  </cols>
  <sheetData>
    <row r="1" ht="15" customHeight="1">
      <c r="A1" t="s" s="2">
        <v>0</v>
      </c>
      <c r="B1" t="s" s="3">
        <v>25</v>
      </c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t="s" s="8">
        <v>70</v>
      </c>
      <c r="D2" s="9"/>
      <c r="E2" s="10"/>
    </row>
    <row r="3" ht="15" customHeight="1">
      <c r="A3" t="s" s="6">
        <v>6</v>
      </c>
      <c r="B3" s="7"/>
      <c r="C3" t="s" s="8">
        <v>71</v>
      </c>
      <c r="D3" s="9"/>
      <c r="E3" s="10"/>
    </row>
    <row r="4" ht="15" customHeight="1">
      <c r="A4" t="s" s="6">
        <v>8</v>
      </c>
      <c r="B4" s="7"/>
      <c r="C4" t="s" s="8">
        <v>72</v>
      </c>
      <c r="D4" s="9"/>
      <c r="E4" s="10"/>
    </row>
    <row r="5" ht="13.5" customHeight="1">
      <c r="A5" t="s" s="34">
        <v>73</v>
      </c>
      <c r="B5" t="s" s="12">
        <v>74</v>
      </c>
      <c r="C5" t="str" s="31" cm="1">
        <f t="array" ref="C5">"["&amp;_xlfn.TEXTJOIN(" ",TRUE,'HardpointsRr'!B16/1000,'HardpointsRr'!C16/1000,'HardpointsRr'!D16/1000)&amp;"]"</f>
        <v>[0,050000 0,287567 0,463988]</v>
      </c>
      <c r="D5" t="s" s="14">
        <v>107</v>
      </c>
      <c r="E5" s="15"/>
    </row>
    <row r="6" ht="13.5" customHeight="1">
      <c r="A6" s="22"/>
      <c r="B6" t="s" s="17">
        <v>51</v>
      </c>
      <c r="C6" t="str" s="32" cm="1">
        <f t="array" ref="C6">"["&amp;_xlfn.TEXTJOIN(" ",TRUE,'HardpointsRr'!B14/1000,'HardpointsRr'!C14/1000,'HardpointsRr'!D14/1000)&amp;"]"</f>
        <v>[0,255000 0,305000 0,401350]</v>
      </c>
      <c r="D6" t="s" s="19">
        <v>12</v>
      </c>
      <c r="E6" s="20"/>
    </row>
    <row r="7" ht="13.5" customHeight="1">
      <c r="A7" s="24"/>
      <c r="B7" t="s" s="17">
        <v>35</v>
      </c>
      <c r="C7" t="str" s="32" cm="1">
        <f t="array" ref="C7">"["&amp;_xlfn.TEXTJOIN(" ",TRUE,'HardpointsRr'!B15/1000,'HardpointsRr'!C15/1000,'HardpointsRr'!D15/1000)&amp;"]"</f>
        <v>[0,255000 0,305000 0,480697]</v>
      </c>
      <c r="D7" t="s" s="19">
        <v>12</v>
      </c>
      <c r="E7" s="20"/>
    </row>
    <row r="8" ht="13.5" customHeight="1">
      <c r="A8" s="24"/>
      <c r="B8" t="s" s="17">
        <v>77</v>
      </c>
      <c r="C8" s="45">
        <v>61.8794</v>
      </c>
      <c r="D8" t="s" s="19">
        <v>78</v>
      </c>
      <c r="E8" s="20"/>
    </row>
    <row r="9" ht="13.5" customHeight="1">
      <c r="A9" s="16"/>
      <c r="B9" t="s" s="26">
        <v>22</v>
      </c>
      <c r="C9" s="27">
        <v>0.7</v>
      </c>
      <c r="D9" t="s" s="28">
        <v>23</v>
      </c>
      <c r="E9" s="29"/>
    </row>
  </sheetData>
  <mergeCells count="1">
    <mergeCell ref="A5:A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9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46" customWidth="1"/>
    <col min="2" max="2" width="22.4375" style="46" customWidth="1"/>
    <col min="3" max="3" width="12.8516" style="46" customWidth="1"/>
    <col min="4" max="4" width="9.39844" style="46" customWidth="1"/>
    <col min="5" max="5" width="42.4375" style="46" customWidth="1"/>
    <col min="6" max="16384" width="8.85156" style="46" customWidth="1"/>
  </cols>
  <sheetData>
    <row r="1" ht="15" customHeight="1">
      <c r="A1" t="s" s="2">
        <v>0</v>
      </c>
      <c r="B1" s="3"/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t="s" s="8">
        <v>110</v>
      </c>
      <c r="D2" s="9"/>
      <c r="E2" s="10"/>
    </row>
    <row r="3" ht="14.1" customHeight="1">
      <c r="A3" t="s" s="6">
        <v>6</v>
      </c>
      <c r="B3" s="7"/>
      <c r="C3" t="s" s="8">
        <v>7</v>
      </c>
      <c r="D3" s="9"/>
      <c r="E3" s="10"/>
    </row>
    <row r="4" ht="14.1" customHeight="1">
      <c r="A4" t="s" s="6">
        <v>8</v>
      </c>
      <c r="B4" s="7"/>
      <c r="C4" t="s" s="8">
        <v>111</v>
      </c>
      <c r="D4" s="9"/>
      <c r="E4" s="10"/>
    </row>
    <row r="5" ht="13.5" customHeight="1">
      <c r="A5" t="s" s="37">
        <v>110</v>
      </c>
      <c r="B5" t="s" s="12">
        <v>112</v>
      </c>
      <c r="C5" s="31"/>
      <c r="D5" s="14"/>
      <c r="E5" s="43"/>
    </row>
    <row r="6" ht="13.5" customHeight="1">
      <c r="A6" s="16"/>
      <c r="B6" t="s" s="17">
        <v>113</v>
      </c>
      <c r="C6" s="32"/>
      <c r="D6" s="19"/>
      <c r="E6" s="25"/>
    </row>
    <row r="7" ht="13.5" customHeight="1">
      <c r="A7" s="21"/>
      <c r="B7" t="s" s="17">
        <v>114</v>
      </c>
      <c r="C7" s="32"/>
      <c r="D7" t="s" s="19">
        <v>115</v>
      </c>
      <c r="E7" s="25"/>
    </row>
    <row r="8" ht="13.5" customHeight="1">
      <c r="A8" s="21"/>
      <c r="B8" t="s" s="17">
        <v>116</v>
      </c>
      <c r="C8" s="32"/>
      <c r="D8" t="s" s="19">
        <v>117</v>
      </c>
      <c r="E8" s="25"/>
    </row>
    <row r="9" ht="13.5" customHeight="1">
      <c r="A9" s="21"/>
      <c r="B9" t="s" s="26">
        <v>118</v>
      </c>
      <c r="C9" t="s" s="47">
        <v>119</v>
      </c>
      <c r="D9" t="s" s="28">
        <v>23</v>
      </c>
      <c r="E9" s="29"/>
    </row>
  </sheetData>
  <mergeCells count="1">
    <mergeCell ref="A5:A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8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48" customWidth="1"/>
    <col min="2" max="2" width="22.4375" style="48" customWidth="1"/>
    <col min="3" max="3" width="12.8516" style="48" customWidth="1"/>
    <col min="4" max="4" width="9.39844" style="48" customWidth="1"/>
    <col min="5" max="5" width="42.4375" style="48" customWidth="1"/>
    <col min="6" max="16384" width="8.85156" style="48" customWidth="1"/>
  </cols>
  <sheetData>
    <row r="1" ht="15" customHeight="1">
      <c r="A1" t="s" s="2">
        <v>0</v>
      </c>
      <c r="B1" s="3"/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t="s" s="8">
        <v>120</v>
      </c>
      <c r="D2" s="9"/>
      <c r="E2" s="10"/>
    </row>
    <row r="3" ht="14.1" customHeight="1">
      <c r="A3" t="s" s="6">
        <v>6</v>
      </c>
      <c r="B3" s="7"/>
      <c r="C3" t="s" s="8">
        <v>121</v>
      </c>
      <c r="D3" s="9"/>
      <c r="E3" s="10"/>
    </row>
    <row r="4" ht="14.1" customHeight="1">
      <c r="A4" t="s" s="6">
        <v>8</v>
      </c>
      <c r="B4" s="7"/>
      <c r="C4" t="s" s="8">
        <v>121</v>
      </c>
      <c r="D4" s="9"/>
      <c r="E4" s="10"/>
    </row>
    <row r="5" ht="13.5" customHeight="1">
      <c r="A5" t="s" s="37">
        <v>122</v>
      </c>
      <c r="B5" t="s" s="12">
        <v>123</v>
      </c>
      <c r="C5" s="38">
        <v>52538.05</v>
      </c>
      <c r="D5" t="s" s="14">
        <v>124</v>
      </c>
      <c r="E5" s="43"/>
    </row>
    <row r="6" ht="13.5" customHeight="1">
      <c r="A6" s="16"/>
      <c r="B6" t="s" s="26">
        <v>125</v>
      </c>
      <c r="C6" s="27">
        <v>0.01</v>
      </c>
      <c r="D6" t="s" s="28">
        <v>12</v>
      </c>
      <c r="E6" s="49"/>
    </row>
    <row r="7" ht="13.5" customHeight="1">
      <c r="A7" t="s" s="34">
        <v>126</v>
      </c>
      <c r="B7" t="s" s="12">
        <v>123</v>
      </c>
      <c r="C7" s="50">
        <v>43781.70875</v>
      </c>
      <c r="D7" t="s" s="14">
        <v>124</v>
      </c>
      <c r="E7" s="43"/>
    </row>
    <row r="8" ht="13.5" customHeight="1">
      <c r="A8" s="21"/>
      <c r="B8" t="s" s="26">
        <v>125</v>
      </c>
      <c r="C8" s="27">
        <v>0.01</v>
      </c>
      <c r="D8" t="s" s="28">
        <v>107</v>
      </c>
      <c r="E8" s="49"/>
    </row>
  </sheetData>
  <mergeCells count="2">
    <mergeCell ref="A5:A6"/>
    <mergeCell ref="A7:A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4.45" customHeight="1" outlineLevelRow="0" outlineLevelCol="0"/>
  <cols>
    <col min="1" max="1" width="14.4219" style="51" customWidth="1"/>
    <col min="2" max="2" width="22.4375" style="51" customWidth="1"/>
    <col min="3" max="3" width="12.8516" style="51" customWidth="1"/>
    <col min="4" max="4" width="9.39844" style="51" customWidth="1"/>
    <col min="5" max="5" width="42.4375" style="51" customWidth="1"/>
    <col min="6" max="16384" width="8.85156" style="51" customWidth="1"/>
  </cols>
  <sheetData>
    <row r="1" ht="15" customHeight="1">
      <c r="A1" t="s" s="2">
        <v>0</v>
      </c>
      <c r="B1" s="3"/>
      <c r="C1" t="s" s="4">
        <v>1</v>
      </c>
      <c r="D1" t="s" s="4">
        <v>2</v>
      </c>
      <c r="E1" t="s" s="5">
        <v>3</v>
      </c>
    </row>
    <row r="2" ht="14.1" customHeight="1">
      <c r="A2" t="s" s="6">
        <v>4</v>
      </c>
      <c r="B2" s="7"/>
      <c r="C2" t="s" s="8">
        <v>120</v>
      </c>
      <c r="D2" s="9"/>
      <c r="E2" s="10"/>
    </row>
    <row r="3" ht="14.1" customHeight="1">
      <c r="A3" t="s" s="6">
        <v>6</v>
      </c>
      <c r="B3" s="7"/>
      <c r="C3" t="s" s="8">
        <v>121</v>
      </c>
      <c r="D3" s="9"/>
      <c r="E3" s="10"/>
    </row>
    <row r="4" ht="14.1" customHeight="1">
      <c r="A4" t="s" s="6">
        <v>8</v>
      </c>
      <c r="B4" s="7"/>
      <c r="C4" t="s" s="8">
        <v>121</v>
      </c>
      <c r="D4" s="9"/>
      <c r="E4" s="10"/>
    </row>
    <row r="5" ht="13.5" customHeight="1">
      <c r="A5" t="s" s="52">
        <v>122</v>
      </c>
      <c r="B5" t="s" s="12">
        <v>127</v>
      </c>
      <c r="C5" s="38">
        <v>250000</v>
      </c>
      <c r="D5" t="s" s="14">
        <v>124</v>
      </c>
      <c r="E5" s="43"/>
    </row>
    <row r="6" ht="13.5" customHeight="1">
      <c r="A6" s="53"/>
      <c r="B6" t="s" s="17">
        <v>128</v>
      </c>
      <c r="C6" s="32"/>
      <c r="D6" t="s" s="19">
        <v>12</v>
      </c>
      <c r="E6" s="25"/>
    </row>
    <row r="7" ht="13.5" customHeight="1">
      <c r="A7" s="53"/>
      <c r="B7" t="s" s="17">
        <v>129</v>
      </c>
      <c r="C7" s="32"/>
      <c r="D7" s="19"/>
      <c r="E7" s="25"/>
    </row>
    <row r="8" ht="13.5" customHeight="1">
      <c r="A8" s="53"/>
      <c r="B8" t="s" s="17">
        <v>130</v>
      </c>
      <c r="C8" s="32"/>
      <c r="D8" s="19"/>
      <c r="E8" s="25"/>
    </row>
    <row r="9" ht="13.5" customHeight="1">
      <c r="A9" s="53"/>
      <c r="B9" t="s" s="17">
        <v>131</v>
      </c>
      <c r="C9" s="32"/>
      <c r="D9" s="19"/>
      <c r="E9" s="25"/>
    </row>
    <row r="10" ht="13.5" customHeight="1">
      <c r="A10" s="54"/>
      <c r="B10" t="s" s="26">
        <v>132</v>
      </c>
      <c r="C10" s="36"/>
      <c r="D10" s="28"/>
      <c r="E10" s="49"/>
    </row>
    <row r="11" ht="13.5" customHeight="1">
      <c r="A11" t="s" s="37">
        <v>126</v>
      </c>
      <c r="B11" t="s" s="12">
        <v>127</v>
      </c>
      <c r="C11" s="38">
        <v>250000</v>
      </c>
      <c r="D11" s="14"/>
      <c r="E11" s="43"/>
    </row>
    <row r="12" ht="13.5" customHeight="1">
      <c r="A12" s="24"/>
      <c r="B12" t="s" s="17">
        <v>128</v>
      </c>
      <c r="C12" s="32"/>
      <c r="D12" s="19"/>
      <c r="E12" s="25"/>
    </row>
    <row r="13" ht="13.5" customHeight="1">
      <c r="A13" s="24"/>
      <c r="B13" t="s" s="17">
        <v>129</v>
      </c>
      <c r="C13" s="32"/>
      <c r="D13" s="19"/>
      <c r="E13" s="25"/>
    </row>
    <row r="14" ht="13.5" customHeight="1">
      <c r="A14" s="24"/>
      <c r="B14" t="s" s="17">
        <v>130</v>
      </c>
      <c r="C14" s="32"/>
      <c r="D14" s="19"/>
      <c r="E14" s="25"/>
    </row>
    <row r="15" ht="13.5" customHeight="1">
      <c r="A15" s="24"/>
      <c r="B15" t="s" s="17">
        <v>131</v>
      </c>
      <c r="C15" s="32"/>
      <c r="D15" s="19"/>
      <c r="E15" s="25"/>
    </row>
    <row r="16" ht="13.5" customHeight="1">
      <c r="A16" s="16"/>
      <c r="B16" t="s" s="26">
        <v>132</v>
      </c>
      <c r="C16" s="36"/>
      <c r="D16" s="28"/>
      <c r="E16" s="49"/>
    </row>
  </sheetData>
  <mergeCells count="2">
    <mergeCell ref="A5:A10"/>
    <mergeCell ref="A11:A1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23"/>
  <sheetViews>
    <sheetView workbookViewId="0" showGridLines="0" defaultGridColor="1"/>
  </sheetViews>
  <sheetFormatPr defaultColWidth="16.3333" defaultRowHeight="15.4" customHeight="1" outlineLevelRow="0" outlineLevelCol="0"/>
  <cols>
    <col min="1" max="4" width="16.3516" style="55" customWidth="1"/>
    <col min="5" max="16384" width="16.3516" style="55" customWidth="1"/>
  </cols>
  <sheetData>
    <row r="1" ht="13.15" customHeight="1">
      <c r="A1" t="s" s="56">
        <v>133</v>
      </c>
      <c r="B1" t="s" s="56">
        <v>134</v>
      </c>
      <c r="C1" t="s" s="56">
        <v>135</v>
      </c>
      <c r="D1" t="s" s="56">
        <v>136</v>
      </c>
    </row>
    <row r="2" ht="13.15" customHeight="1">
      <c r="A2" t="s" s="57">
        <v>137</v>
      </c>
      <c r="B2" s="58">
        <v>-184.907</v>
      </c>
      <c r="C2" s="59">
        <v>234.925</v>
      </c>
      <c r="D2" s="59">
        <v>126.241</v>
      </c>
    </row>
    <row r="3" ht="12.95" customHeight="1">
      <c r="A3" t="s" s="60">
        <v>138</v>
      </c>
      <c r="B3" s="61">
        <v>182.434</v>
      </c>
      <c r="C3" s="62">
        <v>255.272</v>
      </c>
      <c r="D3" s="62">
        <v>126.239</v>
      </c>
    </row>
    <row r="4" ht="12.95" customHeight="1">
      <c r="A4" t="s" s="60">
        <v>139</v>
      </c>
      <c r="B4" s="61">
        <v>-12</v>
      </c>
      <c r="C4" s="62">
        <v>588.501</v>
      </c>
      <c r="D4" s="62">
        <v>141</v>
      </c>
    </row>
    <row r="5" ht="12.95" customHeight="1">
      <c r="A5" t="s" s="60">
        <v>140</v>
      </c>
      <c r="B5" s="61">
        <v>-132.944</v>
      </c>
      <c r="C5" s="62">
        <v>237.912</v>
      </c>
      <c r="D5" s="62">
        <v>326.532</v>
      </c>
    </row>
    <row r="6" ht="12.95" customHeight="1">
      <c r="A6" t="s" s="60">
        <v>141</v>
      </c>
      <c r="B6" s="61">
        <v>167.448</v>
      </c>
      <c r="C6" s="62">
        <v>254.64</v>
      </c>
      <c r="D6" s="62">
        <v>307.812</v>
      </c>
    </row>
    <row r="7" ht="12.95" customHeight="1">
      <c r="A7" t="s" s="60">
        <v>142</v>
      </c>
      <c r="B7" s="61">
        <v>12</v>
      </c>
      <c r="C7" s="62">
        <v>521</v>
      </c>
      <c r="D7" s="62">
        <v>370</v>
      </c>
    </row>
    <row r="8" ht="12.95" customHeight="1">
      <c r="A8" t="s" s="60">
        <v>143</v>
      </c>
      <c r="B8" s="61">
        <v>0</v>
      </c>
      <c r="C8" s="62">
        <v>640</v>
      </c>
      <c r="D8" s="62">
        <v>250.827</v>
      </c>
    </row>
    <row r="9" ht="12.95" customHeight="1">
      <c r="A9" t="s" s="60">
        <v>144</v>
      </c>
      <c r="B9" s="61">
        <v>0</v>
      </c>
      <c r="C9" s="62">
        <v>640</v>
      </c>
      <c r="D9" s="62">
        <v>250.827</v>
      </c>
    </row>
    <row r="10" ht="12.95" customHeight="1">
      <c r="A10" t="s" s="60">
        <v>145</v>
      </c>
      <c r="B10" s="61">
        <v>-104.241</v>
      </c>
      <c r="C10" s="62">
        <v>250</v>
      </c>
      <c r="D10" s="62">
        <v>171.053</v>
      </c>
    </row>
    <row r="11" ht="12.95" customHeight="1">
      <c r="A11" t="s" s="60">
        <v>146</v>
      </c>
      <c r="B11" s="61">
        <v>-86.252</v>
      </c>
      <c r="C11" s="62">
        <v>575.546</v>
      </c>
      <c r="D11" s="62">
        <v>195</v>
      </c>
    </row>
    <row r="12" ht="12.95" customHeight="1">
      <c r="A12" t="s" s="60">
        <v>147</v>
      </c>
      <c r="B12" s="61">
        <v>-11.157</v>
      </c>
      <c r="C12" s="62">
        <v>233.131</v>
      </c>
      <c r="D12" s="62">
        <v>517.551</v>
      </c>
    </row>
    <row r="13" ht="12.95" customHeight="1">
      <c r="A13" t="s" s="60">
        <v>148</v>
      </c>
      <c r="B13" s="61">
        <v>-11.485</v>
      </c>
      <c r="C13" s="62">
        <v>317.842</v>
      </c>
      <c r="D13" s="62">
        <v>362.43</v>
      </c>
    </row>
    <row r="14" ht="13.55" customHeight="1">
      <c r="A14" t="s" s="60">
        <v>149</v>
      </c>
      <c r="B14" s="61">
        <v>-11.917</v>
      </c>
      <c r="C14" s="62">
        <v>547.36</v>
      </c>
      <c r="D14" s="62">
        <v>169.145</v>
      </c>
    </row>
    <row r="15" ht="12.95" customHeight="1">
      <c r="A15" t="s" s="60">
        <v>150</v>
      </c>
      <c r="B15" s="61">
        <v>-11.489</v>
      </c>
      <c r="C15" s="62">
        <v>351.537</v>
      </c>
      <c r="D15" s="62">
        <v>360.943</v>
      </c>
    </row>
    <row r="16" ht="12.95" customHeight="1">
      <c r="A16" t="s" s="60">
        <v>151</v>
      </c>
      <c r="B16" s="61">
        <v>-11.558</v>
      </c>
      <c r="C16" s="62">
        <v>244.431</v>
      </c>
      <c r="D16" s="62">
        <v>328.198</v>
      </c>
    </row>
    <row r="17" ht="12.95" customHeight="1">
      <c r="A17" t="s" s="60">
        <v>152</v>
      </c>
      <c r="B17" s="61">
        <v>67.965</v>
      </c>
      <c r="C17" s="62">
        <v>262.855</v>
      </c>
      <c r="D17" s="62">
        <v>101.35</v>
      </c>
    </row>
    <row r="18" ht="12.95" customHeight="1">
      <c r="A18" t="s" s="60">
        <v>153</v>
      </c>
      <c r="B18" s="61">
        <v>-12.038</v>
      </c>
      <c r="C18" s="62">
        <v>262.849</v>
      </c>
      <c r="D18" s="62">
        <v>101.519</v>
      </c>
    </row>
    <row r="19" ht="12.95" customHeight="1">
      <c r="A19" t="s" s="60">
        <v>154</v>
      </c>
      <c r="B19" s="61">
        <v>-11.531</v>
      </c>
      <c r="C19" s="62">
        <v>286.508</v>
      </c>
      <c r="D19" s="62">
        <v>331.062</v>
      </c>
    </row>
    <row r="20" ht="12.95" customHeight="1">
      <c r="A20" t="s" s="60">
        <v>155</v>
      </c>
      <c r="B20" s="61">
        <v>-104.241</v>
      </c>
      <c r="C20" s="62">
        <v>0</v>
      </c>
      <c r="D20" s="62">
        <v>171.053</v>
      </c>
    </row>
    <row r="21" ht="12.95" customHeight="1">
      <c r="A21" t="s" s="60">
        <v>156</v>
      </c>
      <c r="B21" s="61">
        <v>237.923</v>
      </c>
      <c r="C21" s="62">
        <v>0</v>
      </c>
      <c r="D21" s="62">
        <v>569.328</v>
      </c>
    </row>
    <row r="22" ht="12.95" customHeight="1">
      <c r="A22" t="s" s="60">
        <v>157</v>
      </c>
      <c r="B22" s="61">
        <v>-104.241</v>
      </c>
      <c r="C22" s="62">
        <v>0</v>
      </c>
      <c r="D22" s="62">
        <v>171.053</v>
      </c>
    </row>
    <row r="23" ht="12.95" customHeight="1">
      <c r="A23" t="s" s="60">
        <v>158</v>
      </c>
      <c r="B23" s="61">
        <v>20</v>
      </c>
      <c r="C23" s="62">
        <v>0</v>
      </c>
      <c r="D23" s="62">
        <v>534.181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19"/>
  <sheetViews>
    <sheetView workbookViewId="0" showGridLines="0" defaultGridColor="1"/>
  </sheetViews>
  <sheetFormatPr defaultColWidth="16.3333" defaultRowHeight="15.4" customHeight="1" outlineLevelRow="0" outlineLevelCol="0"/>
  <cols>
    <col min="1" max="4" width="16.3516" style="63" customWidth="1"/>
    <col min="5" max="16384" width="16.3516" style="63" customWidth="1"/>
  </cols>
  <sheetData>
    <row r="1" ht="13.15" customHeight="1">
      <c r="A1" t="s" s="56">
        <v>133</v>
      </c>
      <c r="B1" t="s" s="56">
        <v>134</v>
      </c>
      <c r="C1" t="s" s="56">
        <v>135</v>
      </c>
      <c r="D1" t="s" s="56">
        <v>136</v>
      </c>
    </row>
    <row r="2" ht="13.15" customHeight="1">
      <c r="A2" t="s" s="57">
        <v>137</v>
      </c>
      <c r="B2" s="58" cm="1">
        <f t="array" ref="B2">1408.851-1575</f>
        <v>-166.149</v>
      </c>
      <c r="C2" s="59">
        <v>334.489</v>
      </c>
      <c r="D2" s="59">
        <v>126.216</v>
      </c>
    </row>
    <row r="3" ht="12.95" customHeight="1">
      <c r="A3" t="s" s="60">
        <v>138</v>
      </c>
      <c r="B3" s="61" cm="1">
        <f t="array" ref="B3">1799.859-1575</f>
        <v>224.859</v>
      </c>
      <c r="C3" s="62">
        <v>309.894</v>
      </c>
      <c r="D3" s="62">
        <v>126.188</v>
      </c>
    </row>
    <row r="4" ht="12.95" customHeight="1">
      <c r="A4" t="s" s="60">
        <v>139</v>
      </c>
      <c r="B4" s="61" cm="1">
        <f t="array" ref="B4">1579.278-1575</f>
        <v>4.278</v>
      </c>
      <c r="C4" s="62">
        <v>574</v>
      </c>
      <c r="D4" s="62">
        <v>132.5</v>
      </c>
    </row>
    <row r="5" ht="12.95" customHeight="1">
      <c r="A5" t="s" s="60">
        <v>140</v>
      </c>
      <c r="B5" s="61" cm="1">
        <f t="array" ref="B5">1412.858-1575</f>
        <v>-162.142</v>
      </c>
      <c r="C5" s="62">
        <v>330.769</v>
      </c>
      <c r="D5" s="62">
        <v>335.182</v>
      </c>
    </row>
    <row r="6" ht="12.95" customHeight="1">
      <c r="A6" t="s" s="60">
        <v>141</v>
      </c>
      <c r="B6" s="61" cm="1">
        <f t="array" ref="B6">1804.308-1575</f>
        <v>229.308</v>
      </c>
      <c r="C6" s="62">
        <v>293.653</v>
      </c>
      <c r="D6" s="62">
        <v>356.806</v>
      </c>
    </row>
    <row r="7" ht="12.95" customHeight="1">
      <c r="A7" t="s" s="60">
        <v>142</v>
      </c>
      <c r="B7" s="61" cm="1">
        <f t="array" ref="B7">1570.705-1575</f>
        <v>-4.295</v>
      </c>
      <c r="C7" s="62">
        <v>508.715</v>
      </c>
      <c r="D7" s="62">
        <v>378</v>
      </c>
    </row>
    <row r="8" ht="12.95" customHeight="1">
      <c r="A8" t="s" s="60">
        <v>143</v>
      </c>
      <c r="B8" s="61" cm="1">
        <f t="array" ref="B8">1575-1575</f>
        <v>0</v>
      </c>
      <c r="C8" s="62">
        <v>625</v>
      </c>
      <c r="D8" s="62">
        <v>250.827</v>
      </c>
    </row>
    <row r="9" ht="12.95" customHeight="1">
      <c r="A9" t="s" s="60">
        <v>144</v>
      </c>
      <c r="B9" s="61" cm="1">
        <f t="array" ref="B9">-1575+1575</f>
        <v>0</v>
      </c>
      <c r="C9" s="62">
        <v>625</v>
      </c>
      <c r="D9" s="62">
        <v>250.827</v>
      </c>
    </row>
    <row r="10" ht="12.95" customHeight="1">
      <c r="A10" t="s" s="60">
        <v>145</v>
      </c>
      <c r="B10" s="61" cm="1">
        <f t="array" ref="B10">-1575+1832.113</f>
        <v>257.113</v>
      </c>
      <c r="C10" s="62">
        <v>301.223</v>
      </c>
      <c r="D10" s="62">
        <v>194.314</v>
      </c>
    </row>
    <row r="11" ht="12.95" customHeight="1">
      <c r="A11" t="s" s="60">
        <v>146</v>
      </c>
      <c r="B11" s="61" cm="1">
        <f t="array" ref="B11">-1575+1676.222</f>
        <v>101.222</v>
      </c>
      <c r="C11" s="62">
        <v>578</v>
      </c>
      <c r="D11" s="62">
        <v>220</v>
      </c>
    </row>
    <row r="12" ht="12.95" customHeight="1">
      <c r="A12" t="s" s="60">
        <v>147</v>
      </c>
      <c r="B12" s="61">
        <v>-180.976</v>
      </c>
      <c r="C12" s="62">
        <v>283.39</v>
      </c>
      <c r="D12" s="62">
        <v>436.103</v>
      </c>
    </row>
    <row r="13" ht="12.95" customHeight="1">
      <c r="A13" t="s" s="60">
        <v>148</v>
      </c>
      <c r="B13" s="61" cm="1">
        <f t="array" ref="B13">-1575+1579.111</f>
        <v>4.111</v>
      </c>
      <c r="C13" s="62">
        <v>267.073</v>
      </c>
      <c r="D13" s="62">
        <v>484.01</v>
      </c>
    </row>
    <row r="14" ht="12.95" customHeight="1">
      <c r="A14" t="s" s="60">
        <v>152</v>
      </c>
      <c r="B14" s="61" cm="1">
        <f t="array" ref="B14">-1575+1830</f>
        <v>255</v>
      </c>
      <c r="C14" s="62">
        <v>305</v>
      </c>
      <c r="D14" s="62">
        <v>401.35</v>
      </c>
    </row>
    <row r="15" ht="12.95" customHeight="1">
      <c r="A15" t="s" s="60">
        <v>153</v>
      </c>
      <c r="B15" s="61" cm="1">
        <f t="array" ref="B15">-1575+1830</f>
        <v>255</v>
      </c>
      <c r="C15" s="62">
        <v>305</v>
      </c>
      <c r="D15" s="62">
        <v>480.697</v>
      </c>
    </row>
    <row r="16" ht="12.95" customHeight="1">
      <c r="A16" t="s" s="60">
        <v>154</v>
      </c>
      <c r="B16" s="61" cm="1">
        <f t="array" ref="B16">-1575+1625</f>
        <v>50</v>
      </c>
      <c r="C16" s="62">
        <v>287.567</v>
      </c>
      <c r="D16" s="62">
        <v>463.988</v>
      </c>
    </row>
    <row r="17" ht="12.95" customHeight="1">
      <c r="A17" t="s" s="60">
        <v>151</v>
      </c>
      <c r="B17" s="61">
        <v>10.771</v>
      </c>
      <c r="C17" s="62">
        <v>318.427</v>
      </c>
      <c r="D17" s="62">
        <v>426.36</v>
      </c>
    </row>
    <row r="18" ht="12.95" customHeight="1">
      <c r="A18" t="s" s="60">
        <v>149</v>
      </c>
      <c r="B18" s="61">
        <v>22.298</v>
      </c>
      <c r="C18" s="62">
        <v>527.859</v>
      </c>
      <c r="D18" s="62">
        <v>152.504</v>
      </c>
    </row>
    <row r="19" ht="12.95" customHeight="1">
      <c r="A19" t="s" s="60">
        <v>150</v>
      </c>
      <c r="B19" s="61">
        <v>89.61199999999999</v>
      </c>
      <c r="C19" s="62">
        <v>349.047</v>
      </c>
      <c r="D19" s="62">
        <v>403.924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