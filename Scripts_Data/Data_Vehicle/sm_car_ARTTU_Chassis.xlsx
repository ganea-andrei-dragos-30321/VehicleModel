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DC91F7D0-38BA-B946-A86E-9C35B31B7FC8}" xr6:coauthVersionLast="47" xr6:coauthVersionMax="47" xr10:uidLastSave="{00000000-0000-0000-0000-000000000000}"/>
  <bookViews>
    <workbookView xWindow="0" yWindow="600" windowWidth="23260" windowHeight="12460" firstSheet="5" activeTab="9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8" i="6"/>
  <c r="C9" i="4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 s="1"/>
  <c r="C30" i="15" a="1"/>
  <c r="C30" i="15"/>
  <c r="C25" i="15" a="1"/>
  <c r="C25" i="15"/>
  <c r="C24" i="15" a="1"/>
  <c r="C24" i="15"/>
  <c r="C22" i="15" a="1"/>
  <c r="C22" i="15" s="1"/>
  <c r="C21" i="15" a="1"/>
  <c r="C21" i="15"/>
  <c r="C14" i="15" a="1"/>
  <c r="C14" i="15" s="1"/>
  <c r="C13" i="15" a="1"/>
  <c r="C13" i="15" s="1"/>
  <c r="C11" i="15" a="1"/>
  <c r="C11" i="15" s="1"/>
  <c r="C10" i="15" a="1"/>
  <c r="C10" i="15"/>
  <c r="C9" i="15" a="1"/>
  <c r="C9" i="15"/>
  <c r="C7" i="15" a="1"/>
  <c r="C7" i="15" s="1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<sst xmlns="http://schemas.openxmlformats.org/spreadsheetml/2006/main" count="526" uniqueCount="168">
  <si>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</si>
  <si>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</si>
  <si>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</si>
  <si>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</si>
  <si>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</si>
  <si>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</si>
  <si>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</si>
  <si>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</si>
  <si>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</si>
  <si>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</si>
  <si>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</si>
  <si>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</si>
  <si>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</si>
  <si>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</si>
  <si>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</si>
  <si>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</si>
  <si>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</si>
  <si>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</si>
  <si>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</si>
  <si>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</si>
  <si>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</si>
  <si>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</si>
  <si>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</si>
  <si>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</si>
  <si>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</si>
  <si>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</si>
  <si>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</si>
  <si>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</si>
  <si>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</si>
  <si>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</si>
  <si>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</si>
  <si>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</si>
  <si>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</si>
  <si>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</si>
  <si>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</si>
  <si>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</si>
  <si>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</si>
  <si>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</si>
  <si>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</si>
  <si>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</si>
  <si>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</si>
  <si>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</si>
  <si>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</si>
  <si>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</si>
  <si>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</si>
  <si>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</si>
  <si>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</si>
  <si>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</si>
  <si>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</si>
  <si>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</si>
  <si>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</si>
  <si>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</si>
  <si>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</si>
  <si>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</si>
  <si>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</si>
  <si>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</si>
  <si>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</si>
  <si>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</si>
  <si>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</si>
  <si>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</si>
  <si>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</si>
  <si>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</si>
  <si>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</si>
  <si>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</si>
  <si>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</si>
  <si>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</si>
  <si>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</si>
  <si>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</si>
  <si>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</si>
  <si>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</si>
  <si>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</si>
  <si>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</si>
  <si>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</si>
  <si>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</si>
  <si>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</si>
  <si>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</si>
  <si>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</si>
  <si>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</si>
  <si>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</si>
  <si>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</si>
  <si>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</si>
  <si>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</si>
  <si>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</si>
  <si>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</si>
  <si>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</si>
  <si>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</si>
  <si>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</si>
  <si>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</si>
  <si>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</si>
  <si>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</si>
  <si>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</si>
  <si>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</si>
  <si>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</si>
  <si>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</si>
  <si>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</si>
  <si>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</si>
  <si>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</si>
  <si>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</si>
  <si>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</si>
  <si>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</si>
  <si>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</si>
  <si>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</si>
  <si>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</si>
  <si>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</si>
  <si>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</si>
  <si>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</si>
  <si>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</si>
  <si>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</si>
  <si>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</si>
  <si>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</si>
  <si>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</si>
  <si>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</si>
  <si>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</si>
  <si>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</si>
  <si>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</si>
  <si>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</si>
  <si>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</si>
  <si>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</si>
  <si>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</si>
  <si>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</si>
  <si>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</si>
  <si>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</si>
  <si>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</si>
  <si>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</si>
  <si>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</si>
  <si>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</si>
  <si>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</si>
  <si>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</si>
  <si>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</si>
  <si>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</si>
  <si>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</si>
  <si>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</si>
  <si>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</si>
  <si>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</si>
  <si>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</si>
  <si>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</si>
  <si>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</si>
  <si>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</si>
  <si>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</si>
  <si>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</si>
  <si>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</si>
  <si>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</si>
  <si>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</si>
  <si>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</si>
  <si>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</si>
  <si>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</si>
  <si>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</si>
  <si>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</si>
  <si>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</si>
  <si>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</si>
  <si>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</si>
  <si>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</si>
  <si>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</si>
  <si>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</si>
  <si>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</si>
  <si>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</si>
  <si>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</si>
  <si>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Damper</t>
  </si>
  <si>
    <t>N*m/deg</t>
  </si>
  <si>
    <t>Nonlinear</t>
  </si>
  <si>
    <t>TABLE</t>
  </si>
  <si>
    <t>(1 steady state, 2 linear transients, 3 non-linear transients)</t>
  </si>
  <si>
    <t xml:space="preserve"> </t>
  </si>
  <si>
    <t>MFEval</t>
  </si>
  <si>
    <t>1 steady state</t>
  </si>
  <si>
    <t>1 combined</t>
  </si>
  <si>
    <t>[27 74 70]</t>
  </si>
  <si>
    <t>[-0,823 0 0,315]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</si>
</sst>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62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165" fontId="3" fillId="5" borderId="8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D22" sqref="D22:D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19" t="s">
        <v>10</v>
      </c>
      <c r="B5" s="74"/>
      <c r="C5" s="77" t="s">
        <v>11</v>
      </c>
      <c r="D5" s="12" t="s">
        <v>12</v>
      </c>
      <c r="E5" s="13" t="s">
        <v>13</v>
      </c>
    </row>
    <row r="6" spans="1:5" ht="15" customHeight="1" thickBot="1" x14ac:dyDescent="0.25">
      <c r="A6" s="119" t="s">
        <v>14</v>
      </c>
      <c r="B6" s="75"/>
      <c r="C6" s="76" t="s">
        <v>15</v>
      </c>
      <c r="D6" s="15" t="s">
        <v>12</v>
      </c>
      <c r="E6" s="16" t="s">
        <v>16</v>
      </c>
    </row>
    <row r="7" spans="1:5" ht="15" customHeight="1" thickBot="1" x14ac:dyDescent="0.25">
      <c r="A7" s="119" t="s">
        <v>17</v>
      </c>
      <c r="B7" s="75"/>
      <c r="C7" s="76" t="s">
        <v>167</v>
      </c>
      <c r="D7" s="15" t="s">
        <v>12</v>
      </c>
      <c r="E7" s="16"/>
    </row>
    <row r="8" spans="1:5" ht="15" customHeight="1" thickBot="1" x14ac:dyDescent="0.25">
      <c r="A8" s="119" t="s">
        <v>18</v>
      </c>
      <c r="B8" s="75"/>
      <c r="C8" s="76" t="s">
        <v>19</v>
      </c>
      <c r="D8" s="15" t="s">
        <v>12</v>
      </c>
      <c r="E8" s="16" t="s">
        <v>20</v>
      </c>
    </row>
    <row r="9" spans="1:5" ht="15" customHeight="1" thickBot="1" x14ac:dyDescent="0.25">
      <c r="A9" s="119" t="s">
        <v>21</v>
      </c>
      <c r="B9" s="75"/>
      <c r="C9" s="76" t="s">
        <v>22</v>
      </c>
      <c r="D9" s="15" t="s">
        <v>12</v>
      </c>
      <c r="E9" s="16" t="s">
        <v>20</v>
      </c>
    </row>
    <row r="10" spans="1:5" ht="15" customHeight="1" thickBot="1" x14ac:dyDescent="0.25">
      <c r="A10" s="119" t="s">
        <v>23</v>
      </c>
      <c r="B10" s="75"/>
      <c r="C10" s="76" t="s">
        <v>24</v>
      </c>
      <c r="D10" s="15" t="s">
        <v>12</v>
      </c>
      <c r="E10" s="16" t="s">
        <v>20</v>
      </c>
    </row>
    <row r="11" spans="1:5" ht="16" thickBot="1" x14ac:dyDescent="0.25">
      <c r="A11" s="119" t="s">
        <v>25</v>
      </c>
      <c r="B11" s="14"/>
      <c r="C11" s="17">
        <f>(HardpointsRr!C9*2+HardpointsFr!C9*2)/2/1000</f>
        <v>1.2635320000000001</v>
      </c>
      <c r="D11" s="15" t="s">
        <v>12</v>
      </c>
      <c r="E11" s="16" t="s">
        <v>26</v>
      </c>
    </row>
    <row r="12" spans="1:5" ht="13.5" customHeight="1" thickBot="1" x14ac:dyDescent="0.25">
      <c r="A12" s="119" t="s">
        <v>27</v>
      </c>
      <c r="B12" s="75"/>
      <c r="C12" s="17">
        <f>HardpointsFr!C9*2/1000</f>
        <v>1.28</v>
      </c>
      <c r="D12" s="15" t="s">
        <v>12</v>
      </c>
      <c r="E12" s="16"/>
    </row>
    <row r="13" spans="1:5" ht="13.5" customHeight="1" thickBot="1" x14ac:dyDescent="0.25">
      <c r="A13" s="119" t="s">
        <v>28</v>
      </c>
      <c r="B13" s="75"/>
      <c r="C13" s="17">
        <f>HardpointsRr!C9*2/1000</f>
        <v>1.2470640000000002</v>
      </c>
      <c r="D13" s="15" t="s">
        <v>12</v>
      </c>
      <c r="E13" s="18"/>
    </row>
    <row r="14" spans="1:5" ht="13.5" customHeight="1" thickBot="1" x14ac:dyDescent="0.25">
      <c r="A14" s="119" t="s">
        <v>12</v>
      </c>
      <c r="B14" s="79"/>
      <c r="C14" s="81">
        <v>255.07</v>
      </c>
      <c r="D14" s="80" t="s">
        <v>29</v>
      </c>
      <c r="E14" s="82" t="s">
        <v>30</v>
      </c>
    </row>
    <row r="15" spans="1:5" ht="13.5" customHeight="1" x14ac:dyDescent="0.2">
      <c r="A15" s="119" t="s">
        <v>31</v>
      </c>
      <c r="B15" s="75"/>
      <c r="C15" s="84" t="s">
        <v>166</v>
      </c>
      <c r="D15" s="86" t="s">
        <v>32</v>
      </c>
      <c r="E15" s="83" t="s">
        <v>33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35</v>
      </c>
      <c r="D4" s="9"/>
      <c r="E4" s="10"/>
    </row>
    <row r="5" spans="1:5" ht="14" customHeight="1" thickBot="1" x14ac:dyDescent="0.25">
      <c r="A5" s="6" t="s">
        <v>35</v>
      </c>
      <c r="B5" s="114"/>
      <c r="C5" s="116" t="s">
        <v>140</v>
      </c>
      <c r="D5" s="117" t="s">
        <v>64</v>
      </c>
      <c r="E5" s="115"/>
    </row>
    <row r="6" spans="1:5" ht="14.5" customHeight="1" thickBot="1" x14ac:dyDescent="0.25">
      <c r="A6" s="6" t="s">
        <v>62</v>
      </c>
      <c r="B6" s="78"/>
      <c r="C6" s="85" t="s">
        <v>63</v>
      </c>
      <c r="D6" s="87" t="s">
        <v>64</v>
      </c>
      <c r="E6" s="22"/>
    </row>
    <row r="7" spans="1:5" ht="14.5" customHeight="1" thickBot="1" x14ac:dyDescent="0.25">
      <c r="A7" s="6" t="s">
        <v>65</v>
      </c>
      <c r="B7" s="78"/>
      <c r="C7" s="85" t="s">
        <v>65</v>
      </c>
      <c r="D7" s="87" t="s">
        <v>64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3" zoomScale="220" workbookViewId="0">
      <selection activeCell="C17" sqref="C17"/>
    </sheetView>
  </sheetViews>
  <sheetFormatPr baseColWidth="10" defaultColWidth="11.5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2" t="s">
        <v>35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2" t="s">
        <v>36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2" t="s">
        <v>37</v>
      </c>
      <c r="D4" s="9"/>
      <c r="E4" s="10"/>
    </row>
    <row r="5" spans="1:5" s="1" customFormat="1" ht="14" customHeight="1" x14ac:dyDescent="0.2">
      <c r="A5" s="144" t="s">
        <v>38</v>
      </c>
      <c r="B5" s="74" t="s">
        <v>39</v>
      </c>
      <c r="C5" s="23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40</v>
      </c>
    </row>
    <row r="6" spans="1:5" s="1" customFormat="1" ht="15" customHeight="1" thickBot="1" x14ac:dyDescent="0.25">
      <c r="A6" s="142"/>
      <c r="B6" s="75" t="s">
        <v>41</v>
      </c>
      <c r="C6" s="24" t="str" cm="1">
        <f t="array" ref="C6">"["&amp;_xlfn.TEXTJOIN(" ",TRUE,HardpointsFr!B3/1000,HardpointsFr!C3/1000,HardpointsFr!D3/1000)&amp;"]"</f>
        <v>[-0.2 0.225 0.12635]</v>
      </c>
      <c r="D6" s="15" t="s">
        <v>12</v>
      </c>
      <c r="E6" s="15" t="s">
        <v>40</v>
      </c>
    </row>
    <row r="7" spans="1:5" s="1" customFormat="1" ht="15" customHeight="1" thickBot="1" x14ac:dyDescent="0.25">
      <c r="A7" s="145"/>
      <c r="B7" s="75" t="s">
        <v>42</v>
      </c>
      <c r="C7" s="24" t="str" cm="1">
        <f t="array" ref="C7">"["&amp;_xlfn.TEXTJOIN(" ",TRUE,HardpointsFr!B4/1000,HardpointsFr!C4/1000,HardpointsFr!D4/1000)&amp;"]"</f>
        <v>[0.011946 0.587821 0.156]</v>
      </c>
      <c r="D7" s="15" t="s">
        <v>12</v>
      </c>
      <c r="E7" s="16" t="s">
        <v>40</v>
      </c>
    </row>
    <row r="8" spans="1:5" s="1" customFormat="1" ht="14" customHeight="1" thickBot="1" x14ac:dyDescent="0.25">
      <c r="A8" s="145"/>
      <c r="B8" s="78" t="s">
        <v>12</v>
      </c>
      <c r="C8" s="20">
        <v>0.16500000000000001</v>
      </c>
      <c r="D8" s="21" t="s">
        <v>12</v>
      </c>
      <c r="E8" s="22"/>
    </row>
    <row r="9" spans="1:5" s="1" customFormat="1" ht="13.5" customHeight="1" x14ac:dyDescent="0.2">
      <c r="A9" s="146" t="s">
        <v>43</v>
      </c>
      <c r="B9" s="74" t="s">
        <v>39</v>
      </c>
      <c r="C9" s="23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40</v>
      </c>
    </row>
    <row r="10" spans="1:5" s="1" customFormat="1" ht="13.5" customHeight="1" x14ac:dyDescent="0.2">
      <c r="A10" s="143"/>
      <c r="B10" s="75" t="s">
        <v>41</v>
      </c>
      <c r="C10" s="24" t="str" cm="1">
        <f t="array" ref="C10">"["&amp;_xlfn.TEXTJOIN(" ",TRUE,HardpointsFr!B6/1000,HardpointsFr!C6/1000,HardpointsFr!D6/1000)&amp;"]"</f>
        <v>[-0.184729 0.225 0.300894]</v>
      </c>
      <c r="D10" s="15" t="s">
        <v>12</v>
      </c>
      <c r="E10" s="15" t="s">
        <v>40</v>
      </c>
    </row>
    <row r="11" spans="1:5" s="1" customFormat="1" ht="13.5" customHeight="1" x14ac:dyDescent="0.2">
      <c r="A11" s="143"/>
      <c r="B11" s="75" t="s">
        <v>42</v>
      </c>
      <c r="C11" s="24" t="str" cm="1">
        <f t="array" ref="C11">"["&amp;_xlfn.TEXTJOIN(" ",TRUE,HardpointsFr!B7/1000,HardpointsFr!C7/1000,HardpointsFr!D7/1000)&amp;"]"</f>
        <v>[-0.012932 0.51868 0.374393]</v>
      </c>
      <c r="D11" s="15" t="s">
        <v>12</v>
      </c>
      <c r="E11" s="16" t="s">
        <v>40</v>
      </c>
    </row>
    <row r="12" spans="1:5" s="1" customFormat="1" ht="13.5" customHeight="1" thickBot="1" x14ac:dyDescent="0.25">
      <c r="A12" s="142"/>
      <c r="B12" s="78" t="s">
        <v>12</v>
      </c>
      <c r="C12" s="20">
        <v>0.12</v>
      </c>
      <c r="D12" s="21" t="s">
        <v>29</v>
      </c>
      <c r="E12" s="22" t="s">
        <v>30</v>
      </c>
    </row>
    <row r="13" spans="1:5" s="1" customFormat="1" ht="13.5" customHeight="1" thickBot="1" x14ac:dyDescent="0.25">
      <c r="A13" s="147" t="s">
        <v>44</v>
      </c>
      <c r="B13" s="74" t="s">
        <v>17</v>
      </c>
      <c r="C13" s="23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40</v>
      </c>
    </row>
    <row r="14" spans="1:5" s="1" customFormat="1" ht="13.5" customHeight="1" thickBot="1" x14ac:dyDescent="0.25">
      <c r="A14" s="145"/>
      <c r="B14" s="75" t="s">
        <v>149</v>
      </c>
      <c r="C14" s="24" t="str" cm="1">
        <f t="array" ref="C14">"["&amp;_xlfn.TEXTJOIN(" ",TRUE,HardpointsFr!B9/1000,HardpointsFr!C9/1000,HardpointsFr!D9/1000)&amp;"]"</f>
        <v>[0 0.64 0.260361]</v>
      </c>
      <c r="D14" s="15" t="s">
        <v>12</v>
      </c>
      <c r="E14" s="16" t="s">
        <v>40</v>
      </c>
    </row>
    <row r="15" spans="1:5" s="1" customFormat="1" ht="13.5" customHeight="1" thickBot="1" x14ac:dyDescent="0.25">
      <c r="A15" s="145"/>
      <c r="B15" s="75" t="s">
        <v>12</v>
      </c>
      <c r="C15" s="25">
        <v>1</v>
      </c>
      <c r="D15" s="15" t="s">
        <v>29</v>
      </c>
      <c r="E15" s="18"/>
    </row>
    <row r="16" spans="1:5" s="1" customFormat="1" ht="13.5" customHeight="1" x14ac:dyDescent="0.2">
      <c r="A16" s="148"/>
      <c r="B16" s="75" t="s">
        <v>45</v>
      </c>
      <c r="C16" s="25">
        <v>-0.5</v>
      </c>
      <c r="D16" s="15" t="s">
        <v>46</v>
      </c>
      <c r="E16" s="16"/>
    </row>
    <row r="17" spans="1:5" s="1" customFormat="1" ht="13.5" customHeight="1" x14ac:dyDescent="0.2">
      <c r="A17" s="143"/>
      <c r="B17" s="75" t="s">
        <v>47</v>
      </c>
      <c r="C17" s="25">
        <v>-2</v>
      </c>
      <c r="D17" s="15" t="s">
        <v>46</v>
      </c>
      <c r="E17" s="16"/>
    </row>
    <row r="18" spans="1:5" s="1" customFormat="1" ht="13.5" customHeight="1" x14ac:dyDescent="0.2">
      <c r="A18" s="143"/>
      <c r="B18" s="75" t="s">
        <v>48</v>
      </c>
      <c r="C18" s="112">
        <v>0.11</v>
      </c>
      <c r="D18" s="15" t="s">
        <v>12</v>
      </c>
      <c r="E18" s="16"/>
    </row>
    <row r="19" spans="1:5" s="1" customFormat="1" ht="13.5" customHeight="1" x14ac:dyDescent="0.2">
      <c r="A19" s="143"/>
      <c r="B19" s="75" t="s">
        <v>49</v>
      </c>
      <c r="C19" s="112">
        <v>0.03</v>
      </c>
      <c r="D19" s="15" t="s">
        <v>12</v>
      </c>
      <c r="E19" s="16"/>
    </row>
    <row r="20" spans="1:5" s="1" customFormat="1" ht="13.5" customHeight="1" thickBot="1" x14ac:dyDescent="0.25">
      <c r="A20" s="142"/>
      <c r="B20" s="78" t="s">
        <v>50</v>
      </c>
      <c r="C20" s="113">
        <v>1.5</v>
      </c>
      <c r="D20" s="21" t="s">
        <v>29</v>
      </c>
      <c r="E20" s="22"/>
    </row>
    <row r="21" spans="1:5" s="1" customFormat="1" ht="13.5" customHeight="1" x14ac:dyDescent="0.2">
      <c r="A21" s="141" t="s">
        <v>143</v>
      </c>
      <c r="B21" s="74" t="s">
        <v>51</v>
      </c>
      <c r="C21" s="23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40</v>
      </c>
    </row>
    <row r="22" spans="1:5" s="1" customFormat="1" ht="13.5" customHeight="1" x14ac:dyDescent="0.2">
      <c r="A22" s="143"/>
      <c r="B22" s="14" t="s">
        <v>42</v>
      </c>
      <c r="C22" s="24" t="str" cm="1">
        <f t="array" ref="C22">"["&amp;_xlfn.TEXTJOIN(" ",TRUE,HardpointsFr!B11/1000,HardpointsFr!C11/1000,HardpointsFr!D11/1000)&amp;"]"</f>
        <v>[0.085098 0.575407 0.188444]</v>
      </c>
      <c r="D22" s="15" t="s">
        <v>12</v>
      </c>
      <c r="E22" s="15" t="s">
        <v>40</v>
      </c>
    </row>
    <row r="23" spans="1:5" s="1" customFormat="1" ht="13.5" customHeight="1" thickBot="1" x14ac:dyDescent="0.25">
      <c r="A23" s="142"/>
      <c r="B23" s="19" t="s">
        <v>12</v>
      </c>
      <c r="C23" s="26">
        <v>0.2</v>
      </c>
      <c r="D23" s="21" t="s">
        <v>29</v>
      </c>
      <c r="E23" s="22"/>
    </row>
    <row r="24" spans="1:5" s="1" customFormat="1" ht="13.5" customHeight="1" x14ac:dyDescent="0.2">
      <c r="A24" s="141" t="s">
        <v>52</v>
      </c>
      <c r="B24" s="74" t="s">
        <v>53</v>
      </c>
      <c r="C24" s="23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40</v>
      </c>
    </row>
    <row r="25" spans="1:5" s="1" customFormat="1" ht="13.5" customHeight="1" x14ac:dyDescent="0.2">
      <c r="A25" s="143"/>
      <c r="B25" s="75" t="s">
        <v>54</v>
      </c>
      <c r="C25" s="24" t="str" cm="1">
        <f t="array" ref="C25">"["&amp;_xlfn.TEXTJOIN(" ",TRUE,HardpointsFr!B13/1000,HardpointsFr!C13/1000,HardpointsFr!D13/1000)&amp;"]"</f>
        <v>[0.011485 0.317842 0.36243]</v>
      </c>
      <c r="D25" s="15" t="s">
        <v>12</v>
      </c>
      <c r="E25" s="16" t="s">
        <v>40</v>
      </c>
    </row>
    <row r="26" spans="1:5" s="1" customFormat="1" ht="13.5" customHeight="1" x14ac:dyDescent="0.2">
      <c r="A26" s="149"/>
      <c r="B26" s="79" t="s">
        <v>147</v>
      </c>
      <c r="C26" s="125">
        <v>1.2</v>
      </c>
      <c r="D26" s="126" t="s">
        <v>29</v>
      </c>
      <c r="E26" s="82"/>
    </row>
    <row r="27" spans="1:5" s="1" customFormat="1" ht="13.5" customHeight="1" thickBot="1" x14ac:dyDescent="0.25">
      <c r="A27" s="142"/>
      <c r="B27" s="78" t="s">
        <v>146</v>
      </c>
      <c r="C27" s="20">
        <v>0.8</v>
      </c>
      <c r="D27" s="21" t="s">
        <v>29</v>
      </c>
      <c r="E27" s="22"/>
    </row>
    <row r="28" spans="1:5" s="1" customFormat="1" ht="13.5" customHeight="1" x14ac:dyDescent="0.2">
      <c r="A28" s="141" t="s">
        <v>55</v>
      </c>
      <c r="B28" s="74" t="s">
        <v>56</v>
      </c>
      <c r="C28" s="27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42"/>
      <c r="B29" s="78" t="s">
        <v>57</v>
      </c>
      <c r="C29" s="20">
        <v>-2.8000000000000001E-2</v>
      </c>
      <c r="D29" s="21" t="s">
        <v>12</v>
      </c>
      <c r="E29" s="22"/>
    </row>
    <row r="30" spans="1:5" s="1" customFormat="1" ht="13.5" customHeight="1" x14ac:dyDescent="0.2">
      <c r="A30" s="141" t="s">
        <v>58</v>
      </c>
      <c r="B30" s="88" t="s">
        <v>51</v>
      </c>
      <c r="C30" s="23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40</v>
      </c>
    </row>
    <row r="31" spans="1:5" s="1" customFormat="1" ht="13.5" customHeight="1" x14ac:dyDescent="0.2">
      <c r="A31" s="143"/>
      <c r="B31" s="89" t="s">
        <v>42</v>
      </c>
      <c r="C31" s="24" t="str" cm="1">
        <f t="array" ref="C31">"["&amp;_xlfn.TEXTJOIN(" ",TRUE,HardpointsFr!B14/1000,HardpointsFr!C14/1000,HardpointsFr!D14/1000)&amp;"]"</f>
        <v>[0.011821 0.55 0.178705]</v>
      </c>
      <c r="D31" s="15" t="s">
        <v>12</v>
      </c>
      <c r="E31" s="15" t="s">
        <v>40</v>
      </c>
    </row>
    <row r="32" spans="1:5" s="1" customFormat="1" ht="13.5" customHeight="1" thickBot="1" x14ac:dyDescent="0.25">
      <c r="A32" s="142"/>
      <c r="B32" s="90" t="s">
        <v>12</v>
      </c>
      <c r="C32" s="20">
        <v>0.1</v>
      </c>
      <c r="D32" s="21" t="s">
        <v>29</v>
      </c>
      <c r="E32" s="22"/>
    </row>
    <row r="33" spans="1:5" s="1" customFormat="1" ht="13.5" customHeight="1" x14ac:dyDescent="0.2">
      <c r="A33" s="141" t="s">
        <v>59</v>
      </c>
      <c r="B33" s="11" t="s">
        <v>60</v>
      </c>
      <c r="C33" s="23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40</v>
      </c>
    </row>
    <row r="34" spans="1:5" s="1" customFormat="1" ht="13.5" customHeight="1" x14ac:dyDescent="0.2">
      <c r="A34" s="143"/>
      <c r="B34" s="14" t="s">
        <v>61</v>
      </c>
      <c r="C34" s="24" t="str" cm="1">
        <f t="array" ref="C34">"["&amp;_xlfn.TEXTJOIN(" ",TRUE,HardpointsFr!B19/1000,HardpointsFr!C19/1000,HardpointsFr!D19/1000)&amp;"]"</f>
        <v>[0.011527 0.292246 0.342816]</v>
      </c>
      <c r="D34" s="15" t="s">
        <v>12</v>
      </c>
      <c r="E34" s="15" t="s">
        <v>40</v>
      </c>
    </row>
    <row r="35" spans="1:5" s="1" customFormat="1" ht="13.5" customHeight="1" thickBot="1" x14ac:dyDescent="0.25">
      <c r="A35" s="142"/>
      <c r="B35" s="19" t="s">
        <v>12</v>
      </c>
      <c r="C35" s="20">
        <v>0.4</v>
      </c>
      <c r="D35" s="21" t="s">
        <v>29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10" sqref="C1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34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62</v>
      </c>
      <c r="D3" s="9"/>
      <c r="E3" s="10"/>
    </row>
    <row r="4" spans="1:5" ht="14" customHeight="1" x14ac:dyDescent="0.2">
      <c r="A4" s="6" t="s">
        <v>6</v>
      </c>
      <c r="B4" s="7"/>
      <c r="C4" s="8" t="s">
        <v>66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67</v>
      </c>
      <c r="D5" s="9"/>
      <c r="E5" s="10"/>
    </row>
    <row r="6" spans="1:5" ht="13.5" customHeight="1" x14ac:dyDescent="0.2">
      <c r="A6" s="122" t="s">
        <v>68</v>
      </c>
      <c r="B6" s="74"/>
      <c r="C6" s="23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40</v>
      </c>
    </row>
    <row r="7" spans="1:5" ht="13.5" customHeight="1" x14ac:dyDescent="0.2">
      <c r="A7" s="123" t="s">
        <v>51</v>
      </c>
      <c r="B7" s="75"/>
      <c r="C7" s="24" t="str">
        <f>"["&amp;_xlfn.TEXTJOIN(" ",TRUE,HardpointsFr!B17/1000,HardpointsFr!C17/1000,HardpointsFr!D17/1000)&amp;"]"</f>
        <v>[0.020965 0.262855 0.10135]</v>
      </c>
      <c r="D7" s="15" t="s">
        <v>12</v>
      </c>
      <c r="E7" s="16" t="s">
        <v>40</v>
      </c>
    </row>
    <row r="8" spans="1:5" ht="13.5" customHeight="1" x14ac:dyDescent="0.2">
      <c r="A8" s="123" t="s">
        <v>42</v>
      </c>
      <c r="B8" s="75"/>
      <c r="C8" s="24" t="str" cm="1">
        <f t="array" ref="C8">"["&amp;_xlfn.TEXTJOIN(" ",TRUE,HardpointsFr!B18/1000,HardpointsFr!C18/1000,HardpointsFr!D18/1000)&amp;"]"</f>
        <v>[-0.0235 0.262855 0.101519]</v>
      </c>
      <c r="D8" s="15" t="s">
        <v>12</v>
      </c>
      <c r="E8" s="16" t="s">
        <v>40</v>
      </c>
    </row>
    <row r="9" spans="1:5" ht="13.5" customHeight="1" x14ac:dyDescent="0.2">
      <c r="A9" s="123" t="s">
        <v>69</v>
      </c>
      <c r="B9" s="75"/>
      <c r="C9" s="134">
        <f>2.2813*2</f>
        <v>4.5625999999999998</v>
      </c>
      <c r="D9" s="86" t="s">
        <v>158</v>
      </c>
      <c r="E9" s="16"/>
    </row>
    <row r="10" spans="1:5" ht="13.5" customHeight="1" thickBot="1" x14ac:dyDescent="0.25">
      <c r="A10" s="124" t="s">
        <v>12</v>
      </c>
      <c r="B10" s="78"/>
      <c r="C10" s="135">
        <v>0.7</v>
      </c>
      <c r="D10" s="21" t="s">
        <v>29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65</v>
      </c>
      <c r="D2" s="9"/>
      <c r="E2" s="10"/>
    </row>
    <row r="3" spans="1:5" ht="14" customHeight="1" x14ac:dyDescent="0.2">
      <c r="A3" s="6" t="s">
        <v>6</v>
      </c>
      <c r="B3" s="7"/>
      <c r="C3" s="8" t="s">
        <v>70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71</v>
      </c>
      <c r="D4" s="9"/>
      <c r="E4" s="10"/>
    </row>
    <row r="5" spans="1:5" ht="14" customHeight="1" x14ac:dyDescent="0.2">
      <c r="A5" s="138" t="s">
        <v>72</v>
      </c>
      <c r="B5" s="74" t="s">
        <v>73</v>
      </c>
      <c r="C5" s="41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40</v>
      </c>
    </row>
    <row r="6" spans="1:5" ht="14" customHeight="1" x14ac:dyDescent="0.2">
      <c r="A6" s="139"/>
      <c r="B6" s="93" t="s">
        <v>12</v>
      </c>
      <c r="C6" s="39">
        <v>0.87</v>
      </c>
      <c r="D6" s="40" t="s">
        <v>29</v>
      </c>
      <c r="E6" s="18"/>
    </row>
    <row r="7" spans="1:5" ht="14" customHeight="1" x14ac:dyDescent="0.2">
      <c r="A7" s="150"/>
      <c r="B7" s="75" t="s">
        <v>74</v>
      </c>
      <c r="C7" s="38">
        <v>50</v>
      </c>
      <c r="D7" s="15" t="s">
        <v>75</v>
      </c>
      <c r="E7" s="15"/>
    </row>
    <row r="8" spans="1:5" ht="14" customHeight="1" x14ac:dyDescent="0.2">
      <c r="A8" s="151" t="s">
        <v>76</v>
      </c>
      <c r="B8" s="75" t="s">
        <v>12</v>
      </c>
      <c r="C8" s="24">
        <v>0.5</v>
      </c>
      <c r="D8" s="86" t="s">
        <v>29</v>
      </c>
      <c r="E8" s="16"/>
    </row>
    <row r="9" spans="1:5" ht="14" customHeight="1" thickBot="1" x14ac:dyDescent="0.25">
      <c r="A9" s="152"/>
      <c r="B9" s="75" t="s">
        <v>73</v>
      </c>
      <c r="C9" s="38" t="str">
        <f>"["&amp;_xlfn.TEXTJOIN(" ",TRUE,HardpointsFr!B21/1000,HardpointsFr!C21/1000,HardpointsFr!D21/1000)&amp;"]"</f>
        <v>[-0.324965 0 0.533792]</v>
      </c>
      <c r="D9" s="15" t="s">
        <v>12</v>
      </c>
      <c r="E9" s="15" t="s">
        <v>40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35</v>
      </c>
      <c r="D2" s="9"/>
      <c r="E2" s="53"/>
    </row>
    <row r="3" spans="1:5" ht="14" customHeight="1" thickBot="1" x14ac:dyDescent="0.25">
      <c r="A3" s="6" t="s">
        <v>6</v>
      </c>
      <c r="B3" s="7"/>
      <c r="C3" s="8" t="s">
        <v>36</v>
      </c>
      <c r="D3" s="9"/>
      <c r="E3" s="53"/>
    </row>
    <row r="4" spans="1:5" ht="14" customHeight="1" thickBot="1" x14ac:dyDescent="0.25">
      <c r="A4" s="6" t="s">
        <v>8</v>
      </c>
      <c r="B4" s="7"/>
      <c r="C4" s="102" t="s">
        <v>35</v>
      </c>
      <c r="D4" s="9"/>
      <c r="E4" s="53"/>
    </row>
    <row r="5" spans="1:5" ht="14" customHeight="1" thickBot="1" x14ac:dyDescent="0.25">
      <c r="A5" s="6" t="s">
        <v>35</v>
      </c>
      <c r="B5" s="114"/>
      <c r="C5" s="116" t="s">
        <v>142</v>
      </c>
      <c r="D5" s="117" t="s">
        <v>64</v>
      </c>
      <c r="E5" s="118"/>
    </row>
    <row r="6" spans="1:5" ht="14.5" customHeight="1" thickBot="1" x14ac:dyDescent="0.25">
      <c r="A6" s="6" t="s">
        <v>62</v>
      </c>
      <c r="B6" s="78"/>
      <c r="C6" s="85" t="s">
        <v>77</v>
      </c>
      <c r="D6" s="87" t="s">
        <v>64</v>
      </c>
      <c r="E6" s="22"/>
    </row>
    <row r="7" spans="1:5" ht="14.5" customHeight="1" thickBot="1" x14ac:dyDescent="0.25">
      <c r="A7" s="153" t="s">
        <v>65</v>
      </c>
      <c r="B7" s="127" t="s">
        <v>155</v>
      </c>
      <c r="C7" s="128" t="s">
        <v>65</v>
      </c>
      <c r="D7" s="117"/>
      <c r="E7" s="129"/>
    </row>
    <row r="8" spans="1:5" ht="14" customHeight="1" thickBot="1" x14ac:dyDescent="0.25">
      <c r="A8" s="154"/>
      <c r="B8" s="127" t="s">
        <v>8</v>
      </c>
      <c r="C8" s="116" t="s">
        <v>156</v>
      </c>
      <c r="D8" s="117"/>
      <c r="E8" s="118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26" zoomScale="150" workbookViewId="0">
      <selection activeCell="B34" sqref="B34"/>
    </sheetView>
  </sheetViews>
  <sheetFormatPr baseColWidth="10" defaultColWidth="11.5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2" t="s">
        <v>35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2" t="s">
        <v>36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2" t="s">
        <v>141</v>
      </c>
      <c r="D4" s="9"/>
      <c r="E4" s="10"/>
    </row>
    <row r="5" spans="1:5" s="1" customFormat="1" ht="14" customHeight="1" thickBot="1" x14ac:dyDescent="0.25">
      <c r="A5" s="153" t="s">
        <v>38</v>
      </c>
      <c r="B5" s="74" t="s">
        <v>39</v>
      </c>
      <c r="C5" s="23" t="str">
        <f>"["&amp;_xlfn.TEXTJOIN(" ",TRUE,HardpointsRr!B2/1000 +1.575,HardpointsRr!C2/1000,HardpointsRr!D2/1000)&amp;"]"</f>
        <v>[0.185 0.305 0.12635]</v>
      </c>
      <c r="D5" s="12" t="s">
        <v>12</v>
      </c>
      <c r="E5" s="54" t="s">
        <v>40</v>
      </c>
    </row>
    <row r="6" spans="1:5" s="1" customFormat="1" ht="16" thickBot="1" x14ac:dyDescent="0.25">
      <c r="A6" s="158"/>
      <c r="B6" s="75" t="s">
        <v>41</v>
      </c>
      <c r="C6" s="23" t="str">
        <f>"["&amp;_xlfn.TEXTJOIN(" ",TRUE,HardpointsRr!B3/1000 +1.575,HardpointsRr!C3/1000,HardpointsRr!D3/1000)&amp;"]"</f>
        <v>[-0.255 0.27 0.12635]</v>
      </c>
      <c r="D6" s="45" t="s">
        <v>12</v>
      </c>
      <c r="E6" s="55" t="s">
        <v>40</v>
      </c>
    </row>
    <row r="7" spans="1:5" s="1" customFormat="1" x14ac:dyDescent="0.2">
      <c r="A7" s="158"/>
      <c r="B7" s="75" t="s">
        <v>42</v>
      </c>
      <c r="C7" s="23" t="str">
        <f>"["&amp;_xlfn.TEXTJOIN(" ",TRUE,HardpointsRr!B4/1000 +1.575,HardpointsRr!C4/1000,HardpointsRr!D4/1000)&amp;"]"</f>
        <v>[-0.00423700000000005 0.573947 0.16318]</v>
      </c>
      <c r="D7" s="46" t="s">
        <v>12</v>
      </c>
      <c r="E7" s="56" t="s">
        <v>40</v>
      </c>
    </row>
    <row r="8" spans="1:5" s="1" customFormat="1" ht="14" customHeight="1" thickBot="1" x14ac:dyDescent="0.25">
      <c r="A8" s="154"/>
      <c r="B8" s="78" t="s">
        <v>12</v>
      </c>
      <c r="C8" s="48">
        <v>0.16500000000000001</v>
      </c>
      <c r="D8" s="47" t="s">
        <v>12</v>
      </c>
      <c r="E8" s="57"/>
    </row>
    <row r="9" spans="1:5" s="1" customFormat="1" ht="13.5" customHeight="1" thickBot="1" x14ac:dyDescent="0.25">
      <c r="A9" s="159" t="s">
        <v>43</v>
      </c>
      <c r="B9" s="74" t="s">
        <v>39</v>
      </c>
      <c r="C9" s="23" t="str">
        <f>"["&amp;_xlfn.TEXTJOIN(" ",TRUE,HardpointsRr!B5/1000 +1.575,HardpointsRr!C5/1000,HardpointsRr!D5/1000)&amp;"]"</f>
        <v>[0.185 0.305 0.328981]</v>
      </c>
      <c r="D9" s="49" t="s">
        <v>12</v>
      </c>
      <c r="E9" s="58" t="s">
        <v>40</v>
      </c>
    </row>
    <row r="10" spans="1:5" s="1" customFormat="1" ht="13.5" customHeight="1" thickBot="1" x14ac:dyDescent="0.25">
      <c r="A10" s="160"/>
      <c r="B10" s="75" t="s">
        <v>41</v>
      </c>
      <c r="C10" s="23" t="str">
        <f>"["&amp;_xlfn.TEXTJOIN(" ",TRUE,HardpointsRr!B6/1000 +1.575,HardpointsRr!C6/1000,HardpointsRr!D6/1000)&amp;"]"</f>
        <v>[-0.255 0.27 0.354475]</v>
      </c>
      <c r="D10" s="52" t="s">
        <v>12</v>
      </c>
      <c r="E10" s="59" t="s">
        <v>40</v>
      </c>
    </row>
    <row r="11" spans="1:5" s="1" customFormat="1" ht="13.5" customHeight="1" x14ac:dyDescent="0.2">
      <c r="A11" s="160"/>
      <c r="B11" s="75" t="s">
        <v>42</v>
      </c>
      <c r="C11" s="23" t="str">
        <f>"["&amp;_xlfn.TEXTJOIN(" ",TRUE,HardpointsRr!B7/1000 +1.575,HardpointsRr!C7/1000,HardpointsRr!D7/1000)&amp;"]"</f>
        <v>[0.00515500000000002 0.50633 0.408151]</v>
      </c>
      <c r="D11" s="50" t="s">
        <v>12</v>
      </c>
      <c r="E11" s="60" t="s">
        <v>40</v>
      </c>
    </row>
    <row r="12" spans="1:5" s="1" customFormat="1" ht="13.5" customHeight="1" thickBot="1" x14ac:dyDescent="0.25">
      <c r="A12" s="161"/>
      <c r="B12" s="78" t="s">
        <v>12</v>
      </c>
      <c r="C12" s="20">
        <v>0.12</v>
      </c>
      <c r="D12" s="51" t="s">
        <v>29</v>
      </c>
      <c r="E12" s="61" t="s">
        <v>40</v>
      </c>
    </row>
    <row r="13" spans="1:5" s="1" customFormat="1" ht="13.5" customHeight="1" thickBot="1" x14ac:dyDescent="0.25">
      <c r="A13" s="138" t="s">
        <v>44</v>
      </c>
      <c r="B13" s="74" t="s">
        <v>17</v>
      </c>
      <c r="C13" s="23" t="str">
        <f>"["&amp;_xlfn.TEXTJOIN(" ",TRUE,HardpointsRr!B8/1000 +1.575,HardpointsRr!C8/1000,HardpointsRr!D8/1000)&amp;"]"</f>
        <v>[0.00612899999999983 0.566642 0.29482]</v>
      </c>
      <c r="D13" s="12" t="s">
        <v>12</v>
      </c>
      <c r="E13" s="54" t="s">
        <v>40</v>
      </c>
    </row>
    <row r="14" spans="1:5" s="1" customFormat="1" ht="13.5" customHeight="1" x14ac:dyDescent="0.2">
      <c r="A14" s="139"/>
      <c r="B14" s="75" t="s">
        <v>149</v>
      </c>
      <c r="C14" s="23" t="str">
        <f>"["&amp;_xlfn.TEXTJOIN(" ",TRUE,HardpointsRr!B9/1000 +1.575,HardpointsRr!C9/1000,HardpointsRr!D9/1000)&amp;"]"</f>
        <v>[0.000401000000000096 0.623532 0.28604]</v>
      </c>
      <c r="D14" s="42" t="s">
        <v>12</v>
      </c>
      <c r="E14" s="62" t="s">
        <v>40</v>
      </c>
    </row>
    <row r="15" spans="1:5" s="1" customFormat="1" ht="13.5" customHeight="1" x14ac:dyDescent="0.2">
      <c r="A15" s="139"/>
      <c r="B15" s="75" t="s">
        <v>12</v>
      </c>
      <c r="C15" s="25">
        <v>1</v>
      </c>
      <c r="D15" s="42" t="s">
        <v>29</v>
      </c>
      <c r="E15" s="63"/>
    </row>
    <row r="16" spans="1:5" s="1" customFormat="1" ht="13.5" customHeight="1" x14ac:dyDescent="0.2">
      <c r="A16" s="139"/>
      <c r="B16" s="75" t="s">
        <v>45</v>
      </c>
      <c r="C16" s="25">
        <v>0.2</v>
      </c>
      <c r="D16" s="15" t="s">
        <v>46</v>
      </c>
      <c r="E16" s="61"/>
    </row>
    <row r="17" spans="1:5" s="1" customFormat="1" ht="13.5" customHeight="1" x14ac:dyDescent="0.2">
      <c r="A17" s="139"/>
      <c r="B17" s="75" t="s">
        <v>47</v>
      </c>
      <c r="C17" s="25">
        <v>-1</v>
      </c>
      <c r="D17" s="15" t="s">
        <v>46</v>
      </c>
      <c r="E17" s="64"/>
    </row>
    <row r="18" spans="1:5" s="1" customFormat="1" ht="13.5" customHeight="1" x14ac:dyDescent="0.2">
      <c r="A18" s="139"/>
      <c r="B18" s="75" t="s">
        <v>48</v>
      </c>
      <c r="C18" s="112">
        <v>0.11</v>
      </c>
      <c r="D18" s="15" t="s">
        <v>12</v>
      </c>
      <c r="E18" s="64"/>
    </row>
    <row r="19" spans="1:5" s="1" customFormat="1" ht="13.5" customHeight="1" x14ac:dyDescent="0.2">
      <c r="A19" s="139"/>
      <c r="B19" s="75" t="s">
        <v>49</v>
      </c>
      <c r="C19" s="112">
        <v>0.03</v>
      </c>
      <c r="D19" s="15" t="s">
        <v>12</v>
      </c>
      <c r="E19" s="64"/>
    </row>
    <row r="20" spans="1:5" s="1" customFormat="1" ht="13.5" customHeight="1" thickBot="1" x14ac:dyDescent="0.25">
      <c r="A20" s="140"/>
      <c r="B20" s="78" t="s">
        <v>50</v>
      </c>
      <c r="C20" s="113">
        <v>1.5</v>
      </c>
      <c r="D20" s="21" t="s">
        <v>29</v>
      </c>
      <c r="E20" s="65"/>
    </row>
    <row r="21" spans="1:5" s="1" customFormat="1" ht="13.5" customHeight="1" thickBot="1" x14ac:dyDescent="0.25">
      <c r="A21" s="138" t="s">
        <v>143</v>
      </c>
      <c r="B21" s="74" t="s">
        <v>51</v>
      </c>
      <c r="C21" s="23" t="str">
        <f>"["&amp;_xlfn.TEXTJOIN(" ",TRUE,HardpointsRr!B10/1000 +1.575,HardpointsRr!C10/1000,HardpointsRr!D10/1000)&amp;"]"</f>
        <v>[-0.255 0.27 0.193642]</v>
      </c>
      <c r="D21" s="43" t="s">
        <v>12</v>
      </c>
      <c r="E21" s="66" t="s">
        <v>40</v>
      </c>
    </row>
    <row r="22" spans="1:5" s="1" customFormat="1" ht="13.5" customHeight="1" x14ac:dyDescent="0.2">
      <c r="A22" s="139"/>
      <c r="B22" s="14" t="s">
        <v>42</v>
      </c>
      <c r="C22" s="23" t="str">
        <f>"["&amp;_xlfn.TEXTJOIN(" ",TRUE,HardpointsRr!B11/1000 +1.575,HardpointsRr!C11/1000,HardpointsRr!D11/1000)&amp;"]"</f>
        <v>[-0.100904 0.576735 0.251011]</v>
      </c>
      <c r="D22" s="42" t="s">
        <v>12</v>
      </c>
      <c r="E22" s="59" t="s">
        <v>40</v>
      </c>
    </row>
    <row r="23" spans="1:5" s="1" customFormat="1" ht="13.5" customHeight="1" thickBot="1" x14ac:dyDescent="0.25">
      <c r="A23" s="140"/>
      <c r="B23" s="19" t="s">
        <v>12</v>
      </c>
      <c r="C23" s="26">
        <v>0.2</v>
      </c>
      <c r="D23" s="21" t="s">
        <v>29</v>
      </c>
      <c r="E23" s="67"/>
    </row>
    <row r="24" spans="1:5" s="1" customFormat="1" ht="13.5" customHeight="1" thickBot="1" x14ac:dyDescent="0.25">
      <c r="A24" s="138" t="s">
        <v>52</v>
      </c>
      <c r="B24" s="74" t="s">
        <v>53</v>
      </c>
      <c r="C24" s="23" t="str">
        <f>"["&amp;_xlfn.TEXTJOIN(" ",TRUE,HardpointsRr!B12/1000 + 1.575,HardpointsRr!C12/1000,HardpointsRr!D12/1000)&amp;"]"</f>
        <v>[0.179024 0.283399 0.436103]</v>
      </c>
      <c r="D24" s="43" t="s">
        <v>12</v>
      </c>
      <c r="E24" s="60" t="s">
        <v>40</v>
      </c>
    </row>
    <row r="25" spans="1:5" s="1" customFormat="1" ht="13.5" customHeight="1" x14ac:dyDescent="0.2">
      <c r="A25" s="139"/>
      <c r="B25" s="75" t="s">
        <v>54</v>
      </c>
      <c r="C25" s="23" t="str">
        <f>"["&amp;_xlfn.TEXTJOIN(" ",TRUE,(HardpointsRr!B13+ 1575)/1000,HardpointsRr!C13/1000,HardpointsRr!D13/1000)&amp;"]"</f>
        <v>[-0.0041110000000001 0.267073 0.48401]</v>
      </c>
      <c r="D25" s="15" t="s">
        <v>12</v>
      </c>
      <c r="E25" s="61" t="s">
        <v>40</v>
      </c>
    </row>
    <row r="26" spans="1:5" s="1" customFormat="1" ht="13.5" customHeight="1" x14ac:dyDescent="0.2">
      <c r="A26" s="139"/>
      <c r="B26" s="79" t="s">
        <v>146</v>
      </c>
      <c r="C26" s="125">
        <v>0.8</v>
      </c>
      <c r="D26" s="80"/>
      <c r="E26" s="72"/>
    </row>
    <row r="27" spans="1:5" s="1" customFormat="1" ht="13.5" customHeight="1" thickBot="1" x14ac:dyDescent="0.25">
      <c r="A27" s="140"/>
      <c r="B27" s="78" t="s">
        <v>147</v>
      </c>
      <c r="C27" s="20">
        <v>1.2</v>
      </c>
      <c r="D27" s="21" t="s">
        <v>29</v>
      </c>
      <c r="E27" s="68"/>
    </row>
    <row r="28" spans="1:5" s="1" customFormat="1" ht="13.5" customHeight="1" x14ac:dyDescent="0.2">
      <c r="A28" s="138" t="s">
        <v>55</v>
      </c>
      <c r="B28" s="74" t="s">
        <v>56</v>
      </c>
      <c r="C28" s="27">
        <v>2.8000000000000001E-2</v>
      </c>
      <c r="D28" s="12" t="s">
        <v>12</v>
      </c>
      <c r="E28" s="69"/>
    </row>
    <row r="29" spans="1:5" s="1" customFormat="1" ht="13.5" customHeight="1" thickBot="1" x14ac:dyDescent="0.25">
      <c r="A29" s="140"/>
      <c r="B29" s="78" t="s">
        <v>57</v>
      </c>
      <c r="C29" s="20">
        <v>-2.8000000000000001E-2</v>
      </c>
      <c r="D29" s="21" t="s">
        <v>12</v>
      </c>
      <c r="E29" s="68"/>
    </row>
    <row r="30" spans="1:5" s="1" customFormat="1" ht="13.5" customHeight="1" thickBot="1" x14ac:dyDescent="0.25">
      <c r="A30" s="155" t="s">
        <v>58</v>
      </c>
      <c r="B30" s="88" t="s">
        <v>42</v>
      </c>
      <c r="C30" s="23" t="str">
        <f>"["&amp;_xlfn.TEXTJOIN(" ",TRUE,HardpointsRr!B14/1000 + 1.575,HardpointsRr!C14/1000,HardpointsRr!D14/1000)&amp;"]"</f>
        <v>[-0.022194 0.526395 0.180967]</v>
      </c>
      <c r="D30" s="12" t="s">
        <v>12</v>
      </c>
      <c r="E30" s="54" t="s">
        <v>40</v>
      </c>
    </row>
    <row r="31" spans="1:5" s="1" customFormat="1" ht="13.5" customHeight="1" x14ac:dyDescent="0.2">
      <c r="A31" s="156"/>
      <c r="B31" s="89" t="s">
        <v>51</v>
      </c>
      <c r="C31" s="23" t="str">
        <f>"["&amp;_xlfn.TEXTJOIN(" ",TRUE,HardpointsRr!B15/1000 + 1.575,HardpointsRr!C15/1000,HardpointsRr!D15/1000)&amp;"]"</f>
        <v>[-0.089612 0.349047 0.403924]</v>
      </c>
      <c r="D31" s="42" t="s">
        <v>12</v>
      </c>
      <c r="E31" s="59" t="s">
        <v>40</v>
      </c>
    </row>
    <row r="32" spans="1:5" s="1" customFormat="1" ht="13.5" customHeight="1" thickBot="1" x14ac:dyDescent="0.25">
      <c r="A32" s="157"/>
      <c r="B32" s="90" t="s">
        <v>12</v>
      </c>
      <c r="C32" s="20">
        <v>0.1</v>
      </c>
      <c r="D32" s="21" t="s">
        <v>29</v>
      </c>
      <c r="E32" s="70"/>
    </row>
    <row r="33" spans="1:5" s="1" customFormat="1" ht="13.5" customHeight="1" x14ac:dyDescent="0.2">
      <c r="A33" s="138" t="s">
        <v>59</v>
      </c>
      <c r="B33" s="11" t="s">
        <v>60</v>
      </c>
      <c r="C33" s="23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4" t="s">
        <v>40</v>
      </c>
    </row>
    <row r="34" spans="1:5" s="1" customFormat="1" ht="13.5" customHeight="1" x14ac:dyDescent="0.2">
      <c r="A34" s="139"/>
      <c r="B34" s="14" t="s">
        <v>61</v>
      </c>
      <c r="C34" s="24" t="str">
        <f>"["&amp;_xlfn.TEXTJOIN(" ",TRUE,HardpointsRr!B19/1000+ 1.575,HardpointsRr!C19/1000,HardpointsRr!D19/1000)&amp;"]"</f>
        <v>[-0.0254860000000001 0.287566 0.463988]</v>
      </c>
      <c r="D34" s="42" t="s">
        <v>12</v>
      </c>
      <c r="E34" s="59" t="s">
        <v>40</v>
      </c>
    </row>
    <row r="35" spans="1:5" s="1" customFormat="1" ht="13.5" customHeight="1" thickBot="1" x14ac:dyDescent="0.25">
      <c r="A35" s="140"/>
      <c r="B35" s="19" t="s">
        <v>12</v>
      </c>
      <c r="C35" s="20">
        <v>0.4</v>
      </c>
      <c r="D35" s="21" t="s">
        <v>29</v>
      </c>
      <c r="E35" s="70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9" sqref="C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62</v>
      </c>
      <c r="D2" s="9"/>
      <c r="E2" s="10"/>
    </row>
    <row r="3" spans="1:5" ht="15" customHeight="1" x14ac:dyDescent="0.2">
      <c r="A3" s="6" t="s">
        <v>6</v>
      </c>
      <c r="B3" s="7"/>
      <c r="C3" s="8" t="s">
        <v>66</v>
      </c>
      <c r="D3" s="9"/>
      <c r="E3" s="10"/>
    </row>
    <row r="4" spans="1:5" ht="15" customHeight="1" thickBot="1" x14ac:dyDescent="0.25">
      <c r="A4" s="6" t="s">
        <v>8</v>
      </c>
      <c r="B4" s="7"/>
      <c r="C4" s="102" t="s">
        <v>150</v>
      </c>
      <c r="D4" s="9"/>
      <c r="E4" s="71"/>
    </row>
    <row r="5" spans="1:5" ht="13.5" customHeight="1" x14ac:dyDescent="0.2">
      <c r="A5" s="122" t="s">
        <v>68</v>
      </c>
      <c r="B5" s="74"/>
      <c r="C5" s="23" t="str">
        <f>"["&amp;_xlfn.TEXTJOIN(" ",TRUE,HardpointsRr!B19/1000+ 1.575,HardpointsRr!C19/1000,HardpointsRr!D19/1000)&amp;"]"</f>
        <v>[-0.0254860000000001 0.287566 0.463988]</v>
      </c>
      <c r="D5" s="130" t="s">
        <v>12</v>
      </c>
      <c r="E5" s="66" t="s">
        <v>40</v>
      </c>
    </row>
    <row r="6" spans="1:5" ht="13.5" customHeight="1" x14ac:dyDescent="0.2">
      <c r="A6" s="123" t="s">
        <v>51</v>
      </c>
      <c r="B6" s="75"/>
      <c r="C6" s="24" t="str">
        <f>"["&amp;_xlfn.TEXTJOIN(" ",TRUE,HardpointsRr!B17/1000+ 1.575,HardpointsRr!C17/1000,HardpointsRr!D17/1000)&amp;"]"</f>
        <v>[-0.255 0.305 0.40135]</v>
      </c>
      <c r="D6" s="42" t="s">
        <v>12</v>
      </c>
      <c r="E6" s="55" t="s">
        <v>40</v>
      </c>
    </row>
    <row r="7" spans="1:5" ht="13.5" customHeight="1" x14ac:dyDescent="0.2">
      <c r="A7" s="123" t="s">
        <v>42</v>
      </c>
      <c r="B7" s="75"/>
      <c r="C7" s="24" t="str">
        <f>"["&amp;_xlfn.TEXTJOIN(" ",TRUE,HardpointsRr!B18/1000 + 1.575,HardpointsRr!C18/1000,HardpointsRr!D18/1000)&amp;"]"</f>
        <v>[-0.255 0.305 0.44835]</v>
      </c>
      <c r="D7" s="42" t="s">
        <v>12</v>
      </c>
      <c r="E7" s="59" t="s">
        <v>40</v>
      </c>
    </row>
    <row r="8" spans="1:5" ht="13.5" customHeight="1" x14ac:dyDescent="0.2">
      <c r="A8" s="123" t="s">
        <v>69</v>
      </c>
      <c r="B8" s="75"/>
      <c r="C8" s="137">
        <f>1.979*2</f>
        <v>3.9580000000000002</v>
      </c>
      <c r="D8" s="86" t="s">
        <v>158</v>
      </c>
      <c r="E8" s="72"/>
    </row>
    <row r="9" spans="1:5" ht="13.5" customHeight="1" thickBot="1" x14ac:dyDescent="0.25">
      <c r="A9" s="124" t="s">
        <v>12</v>
      </c>
      <c r="B9" s="78"/>
      <c r="C9" s="20">
        <v>0.7</v>
      </c>
      <c r="D9" s="44" t="s">
        <v>29</v>
      </c>
      <c r="E9" s="7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E21" sqref="E2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78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79</v>
      </c>
      <c r="D4" s="9"/>
      <c r="E4" s="10"/>
    </row>
    <row r="5" spans="1:5" ht="13.5" customHeight="1" thickBot="1" x14ac:dyDescent="0.25">
      <c r="A5" s="120" t="s">
        <v>80</v>
      </c>
      <c r="B5" s="74"/>
      <c r="C5" s="23">
        <v>-2.15</v>
      </c>
      <c r="D5" s="12"/>
      <c r="E5" s="28"/>
    </row>
    <row r="6" spans="1:5" ht="13.5" customHeight="1" thickBot="1" x14ac:dyDescent="0.25">
      <c r="A6" s="120" t="s">
        <v>81</v>
      </c>
      <c r="B6" s="75"/>
      <c r="C6" s="24">
        <v>-1</v>
      </c>
      <c r="D6" s="15"/>
      <c r="E6" s="18"/>
    </row>
    <row r="7" spans="1:5" ht="13.5" customHeight="1" thickBot="1" x14ac:dyDescent="0.25">
      <c r="A7" s="120" t="s">
        <v>82</v>
      </c>
      <c r="B7" s="75"/>
      <c r="C7" s="24">
        <v>1.2250000000000001</v>
      </c>
      <c r="D7" s="15" t="s">
        <v>83</v>
      </c>
      <c r="E7" s="18"/>
    </row>
    <row r="8" spans="1:5" ht="13.5" customHeight="1" thickBot="1" x14ac:dyDescent="0.25">
      <c r="A8" s="120" t="s">
        <v>145</v>
      </c>
      <c r="B8" s="75"/>
      <c r="C8" s="24">
        <v>1.2</v>
      </c>
      <c r="D8" s="15" t="s">
        <v>84</v>
      </c>
      <c r="E8" s="18"/>
    </row>
    <row r="9" spans="1:5" ht="13.5" customHeight="1" thickBot="1" x14ac:dyDescent="0.25">
      <c r="A9" s="120" t="s">
        <v>85</v>
      </c>
      <c r="B9" s="78"/>
      <c r="C9" s="29" t="s">
        <v>86</v>
      </c>
      <c r="D9" s="21" t="s">
        <v>29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tabSelected="1" zoomScale="99" workbookViewId="0">
      <selection activeCell="C8" sqref="C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87</v>
      </c>
      <c r="D2" s="9"/>
      <c r="E2" s="10"/>
    </row>
    <row r="3" spans="1:5" ht="14" customHeight="1" x14ac:dyDescent="0.2">
      <c r="A3" s="6" t="s">
        <v>6</v>
      </c>
      <c r="B3" s="7"/>
      <c r="C3" s="8" t="s">
        <v>88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88</v>
      </c>
      <c r="D4" s="9"/>
      <c r="E4" s="10"/>
    </row>
    <row r="5" spans="1:5" ht="14" customHeight="1" x14ac:dyDescent="0.2">
      <c r="A5" s="138" t="s">
        <v>89</v>
      </c>
      <c r="B5" s="74" t="s">
        <v>8</v>
      </c>
      <c r="C5" s="77" t="s">
        <v>90</v>
      </c>
      <c r="D5" s="12"/>
      <c r="E5" s="28"/>
    </row>
    <row r="6" spans="1:5" ht="13.5" customHeight="1" x14ac:dyDescent="0.2">
      <c r="A6" s="139"/>
      <c r="B6" s="94" t="s">
        <v>91</v>
      </c>
      <c r="C6" s="95">
        <v>78807.070000000007</v>
      </c>
      <c r="D6" s="96" t="s">
        <v>92</v>
      </c>
      <c r="E6" s="97"/>
    </row>
    <row r="7" spans="1:5" ht="13.5" customHeight="1" thickBot="1" x14ac:dyDescent="0.25">
      <c r="A7" s="140"/>
      <c r="B7" s="78" t="s">
        <v>144</v>
      </c>
      <c r="C7" s="20">
        <v>1.6E-2</v>
      </c>
      <c r="D7" s="21" t="s">
        <v>12</v>
      </c>
      <c r="E7" s="30"/>
    </row>
    <row r="8" spans="1:5" ht="13.5" customHeight="1" x14ac:dyDescent="0.2">
      <c r="A8" s="138" t="s">
        <v>93</v>
      </c>
      <c r="B8" s="74" t="s">
        <v>8</v>
      </c>
      <c r="C8" s="99" t="s">
        <v>90</v>
      </c>
      <c r="D8" s="12"/>
      <c r="E8" s="28"/>
    </row>
    <row r="9" spans="1:5" ht="13.5" customHeight="1" x14ac:dyDescent="0.2">
      <c r="A9" s="139"/>
      <c r="B9" s="94" t="s">
        <v>91</v>
      </c>
      <c r="C9" s="98">
        <v>56916.22</v>
      </c>
      <c r="D9" s="96" t="s">
        <v>92</v>
      </c>
      <c r="E9" s="97"/>
    </row>
    <row r="10" spans="1:5" ht="13.5" customHeight="1" thickBot="1" x14ac:dyDescent="0.25">
      <c r="A10" s="140"/>
      <c r="B10" s="78" t="s">
        <v>144</v>
      </c>
      <c r="C10" s="20">
        <v>1.7999999999999999E-2</v>
      </c>
      <c r="D10" s="87" t="s">
        <v>12</v>
      </c>
      <c r="E10" s="30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2" t="s">
        <v>157</v>
      </c>
      <c r="D2" s="9"/>
      <c r="E2" s="10"/>
    </row>
    <row r="3" spans="1:5" ht="14" customHeight="1" x14ac:dyDescent="0.2">
      <c r="A3" s="6" t="s">
        <v>6</v>
      </c>
      <c r="B3" s="7"/>
      <c r="C3" s="8" t="s">
        <v>88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88</v>
      </c>
      <c r="D4" s="9"/>
      <c r="E4" s="10"/>
    </row>
    <row r="5" spans="1:5" ht="14" customHeight="1" x14ac:dyDescent="0.2">
      <c r="A5" s="138" t="s">
        <v>89</v>
      </c>
      <c r="B5" s="74" t="s">
        <v>8</v>
      </c>
      <c r="C5" s="77" t="s">
        <v>159</v>
      </c>
      <c r="D5" s="12"/>
      <c r="E5" s="28"/>
    </row>
    <row r="6" spans="1:5" ht="13.5" customHeight="1" x14ac:dyDescent="0.2">
      <c r="A6" s="139"/>
      <c r="B6" s="94" t="s">
        <v>94</v>
      </c>
      <c r="C6" s="131" t="s">
        <v>94</v>
      </c>
      <c r="D6" s="96" t="s">
        <v>92</v>
      </c>
      <c r="E6" s="132" t="s">
        <v>160</v>
      </c>
    </row>
    <row r="7" spans="1:5" ht="13.5" customHeight="1" x14ac:dyDescent="0.2">
      <c r="A7" s="139"/>
      <c r="B7" s="75" t="s">
        <v>95</v>
      </c>
      <c r="C7" s="24">
        <v>100000</v>
      </c>
      <c r="D7" s="86" t="s">
        <v>92</v>
      </c>
      <c r="E7" s="18"/>
    </row>
    <row r="8" spans="1:5" ht="13.5" customHeight="1" x14ac:dyDescent="0.2">
      <c r="A8" s="139"/>
      <c r="B8" s="75" t="s">
        <v>96</v>
      </c>
      <c r="C8" s="24">
        <v>100000</v>
      </c>
      <c r="D8" s="86" t="s">
        <v>92</v>
      </c>
      <c r="E8" s="18"/>
    </row>
    <row r="9" spans="1:5" ht="13.5" customHeight="1" x14ac:dyDescent="0.2">
      <c r="A9" s="139"/>
      <c r="B9" s="75" t="s">
        <v>97</v>
      </c>
      <c r="C9" s="24">
        <v>150</v>
      </c>
      <c r="D9" s="86" t="s">
        <v>92</v>
      </c>
      <c r="E9" s="18"/>
    </row>
    <row r="10" spans="1:5" ht="13.5" customHeight="1" x14ac:dyDescent="0.2">
      <c r="A10" s="139"/>
      <c r="B10" s="75" t="s">
        <v>98</v>
      </c>
      <c r="C10" s="24">
        <v>150</v>
      </c>
      <c r="D10" s="86" t="s">
        <v>92</v>
      </c>
      <c r="E10" s="18"/>
    </row>
    <row r="11" spans="1:5" ht="13.5" customHeight="1" thickBot="1" x14ac:dyDescent="0.25">
      <c r="A11" s="140"/>
      <c r="B11" s="78" t="s">
        <v>99</v>
      </c>
      <c r="C11" s="26">
        <v>1E-4</v>
      </c>
      <c r="D11" s="87" t="s">
        <v>12</v>
      </c>
      <c r="E11" s="30"/>
    </row>
    <row r="12" spans="1:5" ht="13.5" customHeight="1" x14ac:dyDescent="0.2">
      <c r="A12" s="138" t="s">
        <v>93</v>
      </c>
      <c r="B12" s="74" t="s">
        <v>8</v>
      </c>
      <c r="C12" s="77" t="s">
        <v>159</v>
      </c>
      <c r="D12" s="12"/>
      <c r="E12" s="28"/>
    </row>
    <row r="13" spans="1:5" ht="13.5" customHeight="1" x14ac:dyDescent="0.2">
      <c r="A13" s="139"/>
      <c r="B13" s="94" t="s">
        <v>94</v>
      </c>
      <c r="C13" s="131" t="s">
        <v>94</v>
      </c>
      <c r="D13" s="101" t="s">
        <v>92</v>
      </c>
      <c r="E13" s="132" t="s">
        <v>160</v>
      </c>
    </row>
    <row r="14" spans="1:5" ht="13.5" customHeight="1" x14ac:dyDescent="0.2">
      <c r="A14" s="139"/>
      <c r="B14" s="75" t="s">
        <v>95</v>
      </c>
      <c r="C14" s="24">
        <v>100000</v>
      </c>
      <c r="D14" s="101" t="s">
        <v>92</v>
      </c>
      <c r="E14" s="18"/>
    </row>
    <row r="15" spans="1:5" ht="13.5" customHeight="1" x14ac:dyDescent="0.2">
      <c r="A15" s="139"/>
      <c r="B15" s="75" t="s">
        <v>96</v>
      </c>
      <c r="C15" s="24">
        <v>100000</v>
      </c>
      <c r="D15" s="101" t="s">
        <v>92</v>
      </c>
      <c r="E15" s="18"/>
    </row>
    <row r="16" spans="1:5" ht="13.5" customHeight="1" x14ac:dyDescent="0.2">
      <c r="A16" s="139"/>
      <c r="B16" s="75" t="s">
        <v>97</v>
      </c>
      <c r="C16" s="24">
        <v>150</v>
      </c>
      <c r="D16" s="101" t="s">
        <v>92</v>
      </c>
      <c r="E16" s="18"/>
    </row>
    <row r="17" spans="1:5" ht="13.5" customHeight="1" x14ac:dyDescent="0.2">
      <c r="A17" s="139"/>
      <c r="B17" s="75" t="s">
        <v>98</v>
      </c>
      <c r="C17" s="24">
        <v>150</v>
      </c>
      <c r="D17" s="101" t="s">
        <v>92</v>
      </c>
      <c r="E17" s="18"/>
    </row>
    <row r="18" spans="1:5" ht="13.5" customHeight="1" thickBot="1" x14ac:dyDescent="0.25">
      <c r="A18" s="140"/>
      <c r="B18" s="78" t="s">
        <v>99</v>
      </c>
      <c r="C18" s="26">
        <v>1E-4</v>
      </c>
      <c r="D18" s="87" t="s">
        <v>12</v>
      </c>
      <c r="E18" s="30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ColWidth="11.5" defaultRowHeight="15" x14ac:dyDescent="0.2"/>
  <sheetData>
    <row r="1" spans="1:2" x14ac:dyDescent="0.2">
      <c r="A1" s="133">
        <v>-443.53</v>
      </c>
      <c r="B1" s="133">
        <v>-3883.5949999999998</v>
      </c>
    </row>
    <row r="2" spans="1:2" x14ac:dyDescent="0.2">
      <c r="A2" s="133">
        <v>-433.58</v>
      </c>
      <c r="B2" s="133">
        <v>-3833.1889999999999</v>
      </c>
    </row>
    <row r="3" spans="1:2" x14ac:dyDescent="0.2">
      <c r="A3" s="133">
        <v>-423.97</v>
      </c>
      <c r="B3" s="133">
        <v>-3778.5659999999998</v>
      </c>
    </row>
    <row r="4" spans="1:2" x14ac:dyDescent="0.2">
      <c r="A4" s="133">
        <v>-415</v>
      </c>
      <c r="B4" s="133">
        <v>-3715.607</v>
      </c>
    </row>
    <row r="5" spans="1:2" x14ac:dyDescent="0.2">
      <c r="A5" s="133">
        <v>-406.67</v>
      </c>
      <c r="B5" s="133">
        <v>-3644.3130000000001</v>
      </c>
    </row>
    <row r="6" spans="1:2" x14ac:dyDescent="0.2">
      <c r="A6" s="133">
        <v>-398.79</v>
      </c>
      <c r="B6" s="133">
        <v>-3567.2330000000002</v>
      </c>
    </row>
    <row r="7" spans="1:2" x14ac:dyDescent="0.2">
      <c r="A7" s="133">
        <v>-391.16</v>
      </c>
      <c r="B7" s="133">
        <v>-3486.6219999999998</v>
      </c>
    </row>
    <row r="8" spans="1:2" x14ac:dyDescent="0.2">
      <c r="A8" s="133">
        <v>-383.59</v>
      </c>
      <c r="B8" s="133">
        <v>-3405.2269999999999</v>
      </c>
    </row>
    <row r="9" spans="1:2" x14ac:dyDescent="0.2">
      <c r="A9" s="133">
        <v>-375.88</v>
      </c>
      <c r="B9" s="133">
        <v>-3325.3029999999999</v>
      </c>
    </row>
    <row r="10" spans="1:2" x14ac:dyDescent="0.2">
      <c r="A10" s="133">
        <v>-367.89</v>
      </c>
      <c r="B10" s="133">
        <v>-3248.7130000000002</v>
      </c>
    </row>
    <row r="11" spans="1:2" x14ac:dyDescent="0.2">
      <c r="A11" s="133">
        <v>-359.64</v>
      </c>
      <c r="B11" s="133">
        <v>-3175.3589999999999</v>
      </c>
    </row>
    <row r="12" spans="1:2" x14ac:dyDescent="0.2">
      <c r="A12" s="133">
        <v>-351.2</v>
      </c>
      <c r="B12" s="133">
        <v>-3104.163</v>
      </c>
    </row>
    <row r="13" spans="1:2" x14ac:dyDescent="0.2">
      <c r="A13" s="133">
        <v>-342.63</v>
      </c>
      <c r="B13" s="133">
        <v>-3034.5360000000001</v>
      </c>
    </row>
    <row r="14" spans="1:2" x14ac:dyDescent="0.2">
      <c r="A14" s="133">
        <v>-334</v>
      </c>
      <c r="B14" s="133">
        <v>-2965.6930000000002</v>
      </c>
    </row>
    <row r="15" spans="1:2" x14ac:dyDescent="0.2">
      <c r="A15" s="133">
        <v>-325.38</v>
      </c>
      <c r="B15" s="133">
        <v>-2896.85</v>
      </c>
    </row>
    <row r="16" spans="1:2" x14ac:dyDescent="0.2">
      <c r="A16" s="133">
        <v>-316.77</v>
      </c>
      <c r="B16" s="133">
        <v>-2827.6149999999998</v>
      </c>
    </row>
    <row r="17" spans="1:2" x14ac:dyDescent="0.2">
      <c r="A17" s="133">
        <v>-308.2</v>
      </c>
      <c r="B17" s="133">
        <v>-2757.9879999999998</v>
      </c>
    </row>
    <row r="18" spans="1:2" x14ac:dyDescent="0.2">
      <c r="A18" s="133">
        <v>-299.64999999999998</v>
      </c>
      <c r="B18" s="133">
        <v>-2687.9690000000001</v>
      </c>
    </row>
    <row r="19" spans="1:2" x14ac:dyDescent="0.2">
      <c r="A19" s="133">
        <v>-291.14</v>
      </c>
      <c r="B19" s="133">
        <v>-2617.5569999999998</v>
      </c>
    </row>
    <row r="20" spans="1:2" x14ac:dyDescent="0.2">
      <c r="A20" s="133">
        <v>-282.67</v>
      </c>
      <c r="B20" s="133">
        <v>-2546.6550000000002</v>
      </c>
    </row>
    <row r="21" spans="1:2" x14ac:dyDescent="0.2">
      <c r="A21" s="133">
        <v>-274.25</v>
      </c>
      <c r="B21" s="133">
        <v>-2475.1640000000002</v>
      </c>
    </row>
    <row r="22" spans="1:2" x14ac:dyDescent="0.2">
      <c r="A22" s="133">
        <v>-265.91000000000003</v>
      </c>
      <c r="B22" s="133">
        <v>-2402.7910000000002</v>
      </c>
    </row>
    <row r="23" spans="1:2" x14ac:dyDescent="0.2">
      <c r="A23" s="133">
        <v>-257.67</v>
      </c>
      <c r="B23" s="133">
        <v>-2329.3389999999999</v>
      </c>
    </row>
    <row r="24" spans="1:2" x14ac:dyDescent="0.2">
      <c r="A24" s="133">
        <v>-249.56</v>
      </c>
      <c r="B24" s="133">
        <v>-2254.5149999999999</v>
      </c>
    </row>
    <row r="25" spans="1:2" x14ac:dyDescent="0.2">
      <c r="A25" s="133">
        <v>-241.62</v>
      </c>
      <c r="B25" s="133">
        <v>-2178.2190000000001</v>
      </c>
    </row>
    <row r="26" spans="1:2" x14ac:dyDescent="0.2">
      <c r="A26" s="133">
        <v>-233.85</v>
      </c>
      <c r="B26" s="133">
        <v>-2100.06</v>
      </c>
    </row>
    <row r="27" spans="1:2" x14ac:dyDescent="0.2">
      <c r="A27" s="133">
        <v>-226.23</v>
      </c>
      <c r="B27" s="133">
        <v>-2020.528</v>
      </c>
    </row>
    <row r="28" spans="1:2" x14ac:dyDescent="0.2">
      <c r="A28" s="133">
        <v>-218.75</v>
      </c>
      <c r="B28" s="133">
        <v>-1939.623</v>
      </c>
    </row>
    <row r="29" spans="1:2" x14ac:dyDescent="0.2">
      <c r="A29" s="133">
        <v>-211.37</v>
      </c>
      <c r="B29" s="133">
        <v>-1857.934</v>
      </c>
    </row>
    <row r="30" spans="1:2" x14ac:dyDescent="0.2">
      <c r="A30" s="133">
        <v>-204.05</v>
      </c>
      <c r="B30" s="133">
        <v>-1775.46</v>
      </c>
    </row>
    <row r="31" spans="1:2" x14ac:dyDescent="0.2">
      <c r="A31" s="133">
        <v>-196.78</v>
      </c>
      <c r="B31" s="133">
        <v>-1692.79</v>
      </c>
    </row>
    <row r="32" spans="1:2" x14ac:dyDescent="0.2">
      <c r="A32" s="133">
        <v>-189.52</v>
      </c>
      <c r="B32" s="133">
        <v>-1609.923</v>
      </c>
    </row>
    <row r="33" spans="1:2" x14ac:dyDescent="0.2">
      <c r="A33" s="133">
        <v>-182.26</v>
      </c>
      <c r="B33" s="133">
        <v>-1527.155</v>
      </c>
    </row>
    <row r="34" spans="1:2" x14ac:dyDescent="0.2">
      <c r="A34" s="133">
        <v>-174.97</v>
      </c>
      <c r="B34" s="133">
        <v>-1444.681</v>
      </c>
    </row>
    <row r="35" spans="1:2" x14ac:dyDescent="0.2">
      <c r="A35" s="133">
        <v>-167.65</v>
      </c>
      <c r="B35" s="133">
        <v>-1362.502</v>
      </c>
    </row>
    <row r="36" spans="1:2" x14ac:dyDescent="0.2">
      <c r="A36" s="133">
        <v>-160.27000000000001</v>
      </c>
      <c r="B36" s="133">
        <v>-1280.8119999999999</v>
      </c>
    </row>
    <row r="37" spans="1:2" x14ac:dyDescent="0.2">
      <c r="A37" s="133">
        <v>-152.82</v>
      </c>
      <c r="B37" s="133">
        <v>-1199.711</v>
      </c>
    </row>
    <row r="38" spans="1:2" x14ac:dyDescent="0.2">
      <c r="A38" s="133">
        <v>-145.29</v>
      </c>
      <c r="B38" s="133">
        <v>-1119.297</v>
      </c>
    </row>
    <row r="39" spans="1:2" x14ac:dyDescent="0.2">
      <c r="A39" s="133">
        <v>-137.65</v>
      </c>
      <c r="B39" s="133">
        <v>-1039.7650000000001</v>
      </c>
    </row>
    <row r="40" spans="1:2" x14ac:dyDescent="0.2">
      <c r="A40" s="133">
        <v>-129.9</v>
      </c>
      <c r="B40" s="133">
        <v>-961.31200000000001</v>
      </c>
    </row>
    <row r="41" spans="1:2" x14ac:dyDescent="0.2">
      <c r="A41" s="133">
        <v>-122.02</v>
      </c>
      <c r="B41" s="133">
        <v>-884.13300000000004</v>
      </c>
    </row>
    <row r="42" spans="1:2" x14ac:dyDescent="0.2">
      <c r="A42" s="133">
        <v>-114.01</v>
      </c>
      <c r="B42" s="133">
        <v>-808.32799999999997</v>
      </c>
    </row>
    <row r="43" spans="1:2" x14ac:dyDescent="0.2">
      <c r="A43" s="133">
        <v>-105.84</v>
      </c>
      <c r="B43" s="133">
        <v>-734.19</v>
      </c>
    </row>
    <row r="44" spans="1:2" x14ac:dyDescent="0.2">
      <c r="A44" s="133">
        <v>-97.52</v>
      </c>
      <c r="B44" s="133">
        <v>-661.71799999999996</v>
      </c>
    </row>
    <row r="45" spans="1:2" x14ac:dyDescent="0.2">
      <c r="A45" s="133">
        <v>-89.05</v>
      </c>
      <c r="B45" s="133">
        <v>-590.91399999999999</v>
      </c>
    </row>
    <row r="46" spans="1:2" x14ac:dyDescent="0.2">
      <c r="A46" s="133">
        <v>-80.430000000000007</v>
      </c>
      <c r="B46" s="133">
        <v>-521.67999999999995</v>
      </c>
    </row>
    <row r="47" spans="1:2" x14ac:dyDescent="0.2">
      <c r="A47" s="133">
        <v>-71.680000000000007</v>
      </c>
      <c r="B47" s="133">
        <v>-454.21</v>
      </c>
    </row>
    <row r="48" spans="1:2" x14ac:dyDescent="0.2">
      <c r="A48" s="133">
        <v>-62.8</v>
      </c>
      <c r="B48" s="133">
        <v>-388.113</v>
      </c>
    </row>
    <row r="49" spans="1:2" x14ac:dyDescent="0.2">
      <c r="A49" s="133">
        <v>-53.8</v>
      </c>
      <c r="B49" s="133">
        <v>-323.68299999999999</v>
      </c>
    </row>
    <row r="50" spans="1:2" x14ac:dyDescent="0.2">
      <c r="A50" s="133">
        <v>-44.68</v>
      </c>
      <c r="B50" s="133">
        <v>-260.92099999999999</v>
      </c>
    </row>
    <row r="51" spans="1:2" x14ac:dyDescent="0.2">
      <c r="A51" s="133">
        <v>-35.409999999999997</v>
      </c>
      <c r="B51" s="133">
        <v>-200.41399999999999</v>
      </c>
    </row>
    <row r="52" spans="1:2" x14ac:dyDescent="0.2">
      <c r="A52" s="133">
        <v>-25.99</v>
      </c>
      <c r="B52" s="133">
        <v>-142.26</v>
      </c>
    </row>
    <row r="53" spans="1:2" x14ac:dyDescent="0.2">
      <c r="A53" s="133">
        <v>-16.38</v>
      </c>
      <c r="B53" s="133">
        <v>-86.950999999999993</v>
      </c>
    </row>
    <row r="54" spans="1:2" x14ac:dyDescent="0.2">
      <c r="A54" s="133">
        <v>-6.61</v>
      </c>
      <c r="B54" s="133">
        <v>-34.387</v>
      </c>
    </row>
    <row r="55" spans="1:2" x14ac:dyDescent="0.2">
      <c r="A55" s="133">
        <v>0</v>
      </c>
      <c r="B55" s="133">
        <v>0</v>
      </c>
    </row>
    <row r="56" spans="1:2" x14ac:dyDescent="0.2">
      <c r="A56" s="133">
        <v>3.23</v>
      </c>
      <c r="B56" s="133">
        <v>16.803999999999998</v>
      </c>
    </row>
    <row r="57" spans="1:2" x14ac:dyDescent="0.2">
      <c r="A57" s="133">
        <v>13.04</v>
      </c>
      <c r="B57" s="133">
        <v>68.484999999999999</v>
      </c>
    </row>
    <row r="58" spans="1:2" x14ac:dyDescent="0.2">
      <c r="A58" s="133">
        <v>22.71</v>
      </c>
      <c r="B58" s="133">
        <v>122.42100000000001</v>
      </c>
    </row>
    <row r="59" spans="1:2" x14ac:dyDescent="0.2">
      <c r="A59" s="133">
        <v>32.119999999999997</v>
      </c>
      <c r="B59" s="133">
        <v>180.18199999999999</v>
      </c>
    </row>
    <row r="60" spans="1:2" x14ac:dyDescent="0.2">
      <c r="A60" s="133">
        <v>41.25</v>
      </c>
      <c r="B60" s="133">
        <v>242.25899999999999</v>
      </c>
    </row>
    <row r="61" spans="1:2" x14ac:dyDescent="0.2">
      <c r="A61" s="133">
        <v>50.17</v>
      </c>
      <c r="B61" s="133">
        <v>307.66899999999998</v>
      </c>
    </row>
    <row r="62" spans="1:2" x14ac:dyDescent="0.2">
      <c r="A62" s="133">
        <v>58.93</v>
      </c>
      <c r="B62" s="133">
        <v>375.33499999999998</v>
      </c>
    </row>
    <row r="63" spans="1:2" x14ac:dyDescent="0.2">
      <c r="A63" s="133">
        <v>67.61</v>
      </c>
      <c r="B63" s="133">
        <v>444.07900000000001</v>
      </c>
    </row>
    <row r="64" spans="1:2" x14ac:dyDescent="0.2">
      <c r="A64" s="133">
        <v>76.28</v>
      </c>
      <c r="B64" s="133">
        <v>512.92200000000003</v>
      </c>
    </row>
    <row r="65" spans="1:2" x14ac:dyDescent="0.2">
      <c r="A65" s="133">
        <v>84.97</v>
      </c>
      <c r="B65" s="133">
        <v>581.274</v>
      </c>
    </row>
    <row r="66" spans="1:2" x14ac:dyDescent="0.2">
      <c r="A66" s="133">
        <v>93.66</v>
      </c>
      <c r="B66" s="133">
        <v>649.33299999999997</v>
      </c>
    </row>
    <row r="67" spans="1:2" x14ac:dyDescent="0.2">
      <c r="A67" s="133">
        <v>102.34</v>
      </c>
      <c r="B67" s="133">
        <v>717.58699999999999</v>
      </c>
    </row>
    <row r="68" spans="1:2" x14ac:dyDescent="0.2">
      <c r="A68" s="133">
        <v>110.99</v>
      </c>
      <c r="B68" s="133">
        <v>786.23299999999995</v>
      </c>
    </row>
    <row r="69" spans="1:2" x14ac:dyDescent="0.2">
      <c r="A69" s="133">
        <v>119.59</v>
      </c>
      <c r="B69" s="133">
        <v>855.66399999999999</v>
      </c>
    </row>
    <row r="70" spans="1:2" x14ac:dyDescent="0.2">
      <c r="A70" s="133">
        <v>128.15</v>
      </c>
      <c r="B70" s="133">
        <v>925.68399999999997</v>
      </c>
    </row>
    <row r="71" spans="1:2" x14ac:dyDescent="0.2">
      <c r="A71" s="133">
        <v>136.76</v>
      </c>
      <c r="B71" s="133">
        <v>995.11500000000001</v>
      </c>
    </row>
    <row r="72" spans="1:2" x14ac:dyDescent="0.2">
      <c r="A72" s="133">
        <v>145.5</v>
      </c>
      <c r="B72" s="133">
        <v>1062.8789999999999</v>
      </c>
    </row>
    <row r="73" spans="1:2" x14ac:dyDescent="0.2">
      <c r="A73" s="133">
        <v>154.46</v>
      </c>
      <c r="B73" s="133">
        <v>1127.6030000000001</v>
      </c>
    </row>
    <row r="74" spans="1:2" x14ac:dyDescent="0.2">
      <c r="A74" s="133">
        <v>163.72</v>
      </c>
      <c r="B74" s="133">
        <v>1188.1099999999999</v>
      </c>
    </row>
    <row r="75" spans="1:2" x14ac:dyDescent="0.2">
      <c r="A75" s="133">
        <v>173.35</v>
      </c>
      <c r="B75" s="133">
        <v>1243.3209999999999</v>
      </c>
    </row>
    <row r="76" spans="1:2" x14ac:dyDescent="0.2">
      <c r="A76" s="133">
        <v>183.3</v>
      </c>
      <c r="B76" s="133">
        <v>1293.0409999999999</v>
      </c>
    </row>
    <row r="77" spans="1:2" x14ac:dyDescent="0.2">
      <c r="A77" s="133">
        <v>193.53</v>
      </c>
      <c r="B77" s="133">
        <v>1336.877</v>
      </c>
    </row>
    <row r="78" spans="1:2" x14ac:dyDescent="0.2">
      <c r="A78" s="133">
        <v>204</v>
      </c>
      <c r="B78" s="133">
        <v>1374.829</v>
      </c>
    </row>
    <row r="79" spans="1:2" x14ac:dyDescent="0.2">
      <c r="A79" s="133">
        <v>214.66</v>
      </c>
      <c r="B79" s="133">
        <v>1406.7</v>
      </c>
    </row>
    <row r="80" spans="1:2" x14ac:dyDescent="0.2">
      <c r="A80" s="133">
        <v>225.46</v>
      </c>
      <c r="B80" s="133">
        <v>1433.2760000000001</v>
      </c>
    </row>
    <row r="81" spans="1:2" x14ac:dyDescent="0.2">
      <c r="A81" s="133">
        <v>236.35</v>
      </c>
      <c r="B81" s="133">
        <v>1455.93</v>
      </c>
    </row>
    <row r="82" spans="1:2" x14ac:dyDescent="0.2">
      <c r="A82" s="133">
        <v>247.31</v>
      </c>
      <c r="B82" s="133">
        <v>1476.0329999999999</v>
      </c>
    </row>
    <row r="83" spans="1:2" x14ac:dyDescent="0.2">
      <c r="A83" s="133">
        <v>258.27999999999997</v>
      </c>
      <c r="B83" s="133">
        <v>1494.8620000000001</v>
      </c>
    </row>
    <row r="84" spans="1:2" x14ac:dyDescent="0.2">
      <c r="A84" s="133">
        <v>269.26</v>
      </c>
      <c r="B84" s="133">
        <v>1513.396</v>
      </c>
    </row>
    <row r="85" spans="1:2" x14ac:dyDescent="0.2">
      <c r="A85" s="133">
        <v>280.23</v>
      </c>
      <c r="B85" s="133">
        <v>1531.8330000000001</v>
      </c>
    </row>
    <row r="86" spans="1:2" x14ac:dyDescent="0.2">
      <c r="A86" s="133">
        <v>291.19</v>
      </c>
      <c r="B86" s="133">
        <v>1550.3679999999999</v>
      </c>
    </row>
    <row r="87" spans="1:2" x14ac:dyDescent="0.2">
      <c r="A87" s="133">
        <v>302.14999999999998</v>
      </c>
      <c r="B87" s="133">
        <v>1569.2940000000001</v>
      </c>
    </row>
    <row r="88" spans="1:2" x14ac:dyDescent="0.2">
      <c r="A88" s="133">
        <v>313.10000000000002</v>
      </c>
      <c r="B88" s="133">
        <v>1588.712</v>
      </c>
    </row>
    <row r="89" spans="1:2" x14ac:dyDescent="0.2">
      <c r="A89" s="133">
        <v>324.05</v>
      </c>
      <c r="B89" s="133">
        <v>1608.325</v>
      </c>
    </row>
    <row r="90" spans="1:2" x14ac:dyDescent="0.2">
      <c r="A90" s="133">
        <v>335.01</v>
      </c>
      <c r="B90" s="133">
        <v>1627.9380000000001</v>
      </c>
    </row>
    <row r="91" spans="1:2" x14ac:dyDescent="0.2">
      <c r="A91" s="133">
        <v>345.96</v>
      </c>
      <c r="B91" s="133">
        <v>1647.2570000000001</v>
      </c>
    </row>
    <row r="92" spans="1:2" x14ac:dyDescent="0.2">
      <c r="A92" s="133">
        <v>356.92</v>
      </c>
      <c r="B92" s="133">
        <v>1666.2819999999999</v>
      </c>
    </row>
    <row r="93" spans="1:2" x14ac:dyDescent="0.2">
      <c r="A93" s="133">
        <v>367.88</v>
      </c>
      <c r="B93" s="133">
        <v>1685.6010000000001</v>
      </c>
    </row>
    <row r="94" spans="1:2" x14ac:dyDescent="0.2">
      <c r="A94" s="133">
        <v>378.83</v>
      </c>
      <c r="B94" s="133">
        <v>1705.4110000000001</v>
      </c>
    </row>
    <row r="95" spans="1:2" x14ac:dyDescent="0.2">
      <c r="A95" s="133">
        <v>389.75</v>
      </c>
      <c r="B95" s="133">
        <v>1726.3969999999999</v>
      </c>
    </row>
    <row r="96" spans="1:2" x14ac:dyDescent="0.2">
      <c r="A96" s="133">
        <v>400.65</v>
      </c>
      <c r="B96" s="133">
        <v>1748.6579999999999</v>
      </c>
    </row>
    <row r="97" spans="1:2" x14ac:dyDescent="0.2">
      <c r="A97" s="133">
        <v>411.52</v>
      </c>
      <c r="B97" s="133">
        <v>1772.39</v>
      </c>
    </row>
    <row r="98" spans="1:2" x14ac:dyDescent="0.2">
      <c r="A98" s="133">
        <v>422.35</v>
      </c>
      <c r="B98" s="133">
        <v>1797.4949999999999</v>
      </c>
    </row>
    <row r="99" spans="1:2" x14ac:dyDescent="0.2">
      <c r="A99" s="133">
        <v>433.15</v>
      </c>
      <c r="B99" s="133">
        <v>1823.973</v>
      </c>
    </row>
    <row r="100" spans="1:2" x14ac:dyDescent="0.2">
      <c r="A100" s="133">
        <v>443.91</v>
      </c>
      <c r="B100" s="133">
        <v>1851.8240000000001</v>
      </c>
    </row>
    <row r="101" spans="1:2" x14ac:dyDescent="0.2">
      <c r="A101" s="133">
        <v>454.66</v>
      </c>
      <c r="B101" s="133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zoomScale="150" workbookViewId="0">
      <selection activeCell="D20" sqref="D20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2" t="s">
        <v>100</v>
      </c>
      <c r="D2" s="9"/>
      <c r="E2" s="10"/>
    </row>
    <row r="3" spans="1:5" ht="16" thickBot="1" x14ac:dyDescent="0.25">
      <c r="A3" s="6" t="s">
        <v>6</v>
      </c>
      <c r="B3" s="7"/>
      <c r="C3" s="102" t="s">
        <v>153</v>
      </c>
      <c r="D3" s="9"/>
      <c r="E3" s="10"/>
    </row>
    <row r="4" spans="1:5" ht="16" thickBot="1" x14ac:dyDescent="0.25">
      <c r="A4" s="6" t="s">
        <v>8</v>
      </c>
      <c r="B4" s="7"/>
      <c r="C4" s="102" t="s">
        <v>163</v>
      </c>
      <c r="D4" s="9"/>
      <c r="E4" s="10"/>
    </row>
    <row r="5" spans="1:5" ht="17" thickBot="1" x14ac:dyDescent="0.25">
      <c r="A5" s="92" t="s">
        <v>101</v>
      </c>
      <c r="B5" s="74"/>
      <c r="C5" s="121" t="s">
        <v>154</v>
      </c>
      <c r="D5" s="103" t="s">
        <v>102</v>
      </c>
      <c r="E5" s="104" t="s">
        <v>103</v>
      </c>
    </row>
    <row r="6" spans="1:5" ht="17" thickBot="1" x14ac:dyDescent="0.25">
      <c r="A6" s="92" t="s">
        <v>104</v>
      </c>
      <c r="B6" s="74"/>
      <c r="C6" s="100">
        <v>10</v>
      </c>
      <c r="D6" s="103" t="s">
        <v>29</v>
      </c>
      <c r="E6" s="28"/>
    </row>
    <row r="7" spans="1:5" ht="17" thickBot="1" x14ac:dyDescent="0.25">
      <c r="A7" s="92" t="s">
        <v>105</v>
      </c>
      <c r="B7" s="74"/>
      <c r="C7" s="100" t="s">
        <v>106</v>
      </c>
      <c r="D7" s="103" t="s">
        <v>107</v>
      </c>
      <c r="E7" s="28"/>
    </row>
    <row r="8" spans="1:5" ht="17" thickBot="1" x14ac:dyDescent="0.25">
      <c r="A8" s="92" t="s">
        <v>108</v>
      </c>
      <c r="B8" s="74"/>
      <c r="C8" s="105" t="s">
        <v>109</v>
      </c>
      <c r="D8" s="103" t="s">
        <v>102</v>
      </c>
      <c r="E8" s="28"/>
    </row>
    <row r="9" spans="1:5" ht="17" thickBot="1" x14ac:dyDescent="0.25">
      <c r="A9" s="92" t="s">
        <v>110</v>
      </c>
      <c r="B9" s="74"/>
      <c r="C9" s="100">
        <v>25000</v>
      </c>
      <c r="D9" s="103"/>
      <c r="E9" s="28"/>
    </row>
    <row r="10" spans="1:5" ht="17" thickBot="1" x14ac:dyDescent="0.25">
      <c r="A10" s="92" t="s">
        <v>111</v>
      </c>
      <c r="B10" s="74"/>
      <c r="C10" s="100">
        <v>0.01</v>
      </c>
      <c r="D10" s="103" t="s">
        <v>112</v>
      </c>
      <c r="E10" s="104" t="s">
        <v>113</v>
      </c>
    </row>
    <row r="11" spans="1:5" ht="17" customHeight="1" x14ac:dyDescent="0.2">
      <c r="A11" s="138" t="s">
        <v>114</v>
      </c>
      <c r="B11" s="106" t="s">
        <v>8</v>
      </c>
      <c r="C11" s="107" t="s">
        <v>148</v>
      </c>
      <c r="D11" s="91"/>
      <c r="E11" s="71"/>
    </row>
    <row r="12" spans="1:5" ht="16" thickBot="1" x14ac:dyDescent="0.25">
      <c r="A12" s="140"/>
      <c r="B12" s="108" t="s">
        <v>115</v>
      </c>
      <c r="C12" s="109" t="s">
        <v>11</v>
      </c>
      <c r="D12" s="110" t="s">
        <v>12</v>
      </c>
      <c r="E12" s="111"/>
    </row>
    <row r="13" spans="1:5" ht="17" thickBot="1" x14ac:dyDescent="0.25">
      <c r="A13" s="92" t="s">
        <v>151</v>
      </c>
      <c r="B13" s="74"/>
      <c r="C13" s="100" t="s">
        <v>164</v>
      </c>
      <c r="D13" s="103"/>
      <c r="E13" s="104" t="s">
        <v>161</v>
      </c>
    </row>
    <row r="14" spans="1:5" ht="16" x14ac:dyDescent="0.2">
      <c r="A14" s="92" t="s">
        <v>152</v>
      </c>
      <c r="B14" s="74"/>
      <c r="C14" s="100" t="s">
        <v>165</v>
      </c>
      <c r="D14" s="103"/>
      <c r="E14" s="104"/>
    </row>
    <row r="18" spans="4:4" x14ac:dyDescent="0.2">
      <c r="D18" s="136" t="s">
        <v>162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zoomScale="130" zoomScaleNormal="130" workbookViewId="0">
      <selection activeCell="B18" sqref="B18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1" t="s">
        <v>116</v>
      </c>
      <c r="B1" s="31" t="s">
        <v>117</v>
      </c>
      <c r="C1" s="31" t="s">
        <v>118</v>
      </c>
      <c r="D1" s="31" t="s">
        <v>119</v>
      </c>
    </row>
    <row r="2" spans="1:4" ht="13.25" customHeight="1" x14ac:dyDescent="0.2">
      <c r="A2" s="32" t="s">
        <v>120</v>
      </c>
      <c r="B2" s="33">
        <v>200</v>
      </c>
      <c r="C2" s="34">
        <v>203.34700000000001</v>
      </c>
      <c r="D2" s="34">
        <v>126.35</v>
      </c>
    </row>
    <row r="3" spans="1:4" ht="13" customHeight="1" x14ac:dyDescent="0.2">
      <c r="A3" s="35" t="s">
        <v>121</v>
      </c>
      <c r="B3" s="36">
        <v>-200</v>
      </c>
      <c r="C3" s="37">
        <v>225</v>
      </c>
      <c r="D3" s="37">
        <v>126.35</v>
      </c>
    </row>
    <row r="4" spans="1:4" ht="13" customHeight="1" x14ac:dyDescent="0.2">
      <c r="A4" s="35" t="s">
        <v>122</v>
      </c>
      <c r="B4" s="36">
        <v>11.946</v>
      </c>
      <c r="C4" s="37">
        <v>587.82100000000003</v>
      </c>
      <c r="D4" s="37">
        <v>156</v>
      </c>
    </row>
    <row r="5" spans="1:4" ht="13" customHeight="1" x14ac:dyDescent="0.2">
      <c r="A5" s="35" t="s">
        <v>123</v>
      </c>
      <c r="B5" s="36">
        <v>148.751</v>
      </c>
      <c r="C5" s="37">
        <v>207.047</v>
      </c>
      <c r="D5" s="37">
        <v>321.79399999999998</v>
      </c>
    </row>
    <row r="6" spans="1:4" ht="13" customHeight="1" x14ac:dyDescent="0.2">
      <c r="A6" s="35" t="s">
        <v>124</v>
      </c>
      <c r="B6" s="36">
        <v>-184.72900000000001</v>
      </c>
      <c r="C6" s="37">
        <v>225</v>
      </c>
      <c r="D6" s="37">
        <v>300.89400000000001</v>
      </c>
    </row>
    <row r="7" spans="1:4" ht="13" customHeight="1" x14ac:dyDescent="0.2">
      <c r="A7" s="35" t="s">
        <v>125</v>
      </c>
      <c r="B7" s="36">
        <v>-12.932</v>
      </c>
      <c r="C7" s="37">
        <v>518.67999999999995</v>
      </c>
      <c r="D7" s="37">
        <v>374.39299999999997</v>
      </c>
    </row>
    <row r="8" spans="1:4" ht="13" customHeight="1" x14ac:dyDescent="0.2">
      <c r="A8" s="35" t="s">
        <v>126</v>
      </c>
      <c r="B8" s="36">
        <v>16.193999999999999</v>
      </c>
      <c r="C8" s="37">
        <v>582.05899999999997</v>
      </c>
      <c r="D8" s="37">
        <v>263.346</v>
      </c>
    </row>
    <row r="9" spans="1:4" ht="13" customHeight="1" x14ac:dyDescent="0.2">
      <c r="A9" s="35" t="s">
        <v>127</v>
      </c>
      <c r="B9" s="36">
        <v>0</v>
      </c>
      <c r="C9" s="37">
        <v>640</v>
      </c>
      <c r="D9" s="37">
        <v>260.36099999999999</v>
      </c>
    </row>
    <row r="10" spans="1:4" ht="13" customHeight="1" x14ac:dyDescent="0.2">
      <c r="A10" s="35" t="s">
        <v>128</v>
      </c>
      <c r="B10" s="36">
        <v>104.241</v>
      </c>
      <c r="C10" s="37">
        <v>250</v>
      </c>
      <c r="D10" s="37">
        <v>171.053</v>
      </c>
    </row>
    <row r="11" spans="1:4" ht="13" customHeight="1" x14ac:dyDescent="0.2">
      <c r="A11" s="35" t="s">
        <v>129</v>
      </c>
      <c r="B11" s="36">
        <v>85.097999999999999</v>
      </c>
      <c r="C11" s="37">
        <v>575.40700000000004</v>
      </c>
      <c r="D11" s="37">
        <v>188.44399999999999</v>
      </c>
    </row>
    <row r="12" spans="1:4" ht="13" customHeight="1" x14ac:dyDescent="0.2">
      <c r="A12" s="35" t="s">
        <v>130</v>
      </c>
      <c r="B12" s="36">
        <v>11.157</v>
      </c>
      <c r="C12" s="37">
        <v>233.131</v>
      </c>
      <c r="D12" s="37">
        <v>517.55100000000004</v>
      </c>
    </row>
    <row r="13" spans="1:4" ht="13" customHeight="1" x14ac:dyDescent="0.2">
      <c r="A13" s="35" t="s">
        <v>131</v>
      </c>
      <c r="B13" s="36">
        <v>11.484999999999999</v>
      </c>
      <c r="C13" s="37">
        <v>317.84199999999998</v>
      </c>
      <c r="D13" s="37">
        <v>362.43</v>
      </c>
    </row>
    <row r="14" spans="1:4" ht="13.5" customHeight="1" x14ac:dyDescent="0.2">
      <c r="A14" s="35" t="s">
        <v>132</v>
      </c>
      <c r="B14" s="36">
        <v>11.821</v>
      </c>
      <c r="C14" s="37">
        <v>550</v>
      </c>
      <c r="D14" s="37">
        <v>178.70500000000001</v>
      </c>
    </row>
    <row r="15" spans="1:4" ht="13" customHeight="1" x14ac:dyDescent="0.2">
      <c r="A15" s="35" t="s">
        <v>133</v>
      </c>
      <c r="B15" s="36">
        <v>11.489000000000001</v>
      </c>
      <c r="C15" s="37">
        <v>351.53699999999998</v>
      </c>
      <c r="D15" s="37">
        <v>360.94299999999998</v>
      </c>
    </row>
    <row r="16" spans="1:4" ht="13" customHeight="1" x14ac:dyDescent="0.2">
      <c r="A16" s="35" t="s">
        <v>134</v>
      </c>
      <c r="B16" s="36">
        <v>11.558</v>
      </c>
      <c r="C16" s="37">
        <v>244.43100000000001</v>
      </c>
      <c r="D16" s="37">
        <v>328.19799999999998</v>
      </c>
    </row>
    <row r="17" spans="1:4" ht="13" customHeight="1" x14ac:dyDescent="0.2">
      <c r="A17" s="35" t="s">
        <v>135</v>
      </c>
      <c r="B17" s="36">
        <v>20.965</v>
      </c>
      <c r="C17" s="37">
        <v>262.85500000000002</v>
      </c>
      <c r="D17" s="37">
        <v>101.35</v>
      </c>
    </row>
    <row r="18" spans="1:4" ht="13" customHeight="1" x14ac:dyDescent="0.2">
      <c r="A18" s="35" t="s">
        <v>136</v>
      </c>
      <c r="B18" s="36">
        <v>-23.5</v>
      </c>
      <c r="C18" s="37">
        <v>262.85500000000002</v>
      </c>
      <c r="D18" s="37">
        <v>101.51900000000001</v>
      </c>
    </row>
    <row r="19" spans="1:4" ht="13" customHeight="1" x14ac:dyDescent="0.2">
      <c r="A19" s="35" t="s">
        <v>137</v>
      </c>
      <c r="B19" s="36">
        <v>11.526999999999999</v>
      </c>
      <c r="C19" s="37">
        <v>292.24599999999998</v>
      </c>
      <c r="D19" s="37">
        <v>342.81599999999997</v>
      </c>
    </row>
    <row r="20" spans="1:4" ht="13" customHeight="1" x14ac:dyDescent="0.2">
      <c r="A20" s="35" t="s">
        <v>138</v>
      </c>
      <c r="B20" s="36">
        <v>104.241</v>
      </c>
      <c r="C20" s="37">
        <v>0</v>
      </c>
      <c r="D20" s="37">
        <v>171.053</v>
      </c>
    </row>
    <row r="21" spans="1:4" ht="13" customHeight="1" x14ac:dyDescent="0.2">
      <c r="A21" s="35" t="s">
        <v>139</v>
      </c>
      <c r="B21" s="36">
        <v>-324.96499999999997</v>
      </c>
      <c r="C21" s="37">
        <v>0</v>
      </c>
      <c r="D21" s="37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zoomScale="130" zoomScaleNormal="130" workbookViewId="0">
      <selection activeCell="E10" sqref="E10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1" t="s">
        <v>116</v>
      </c>
      <c r="B1" s="31" t="s">
        <v>117</v>
      </c>
      <c r="C1" s="31" t="s">
        <v>118</v>
      </c>
      <c r="D1" s="31" t="s">
        <v>119</v>
      </c>
    </row>
    <row r="2" spans="1:4" ht="13.25" customHeight="1" x14ac:dyDescent="0.2">
      <c r="A2" s="32" t="s">
        <v>120</v>
      </c>
      <c r="B2" s="33">
        <v>-1390</v>
      </c>
      <c r="C2" s="34">
        <v>305</v>
      </c>
      <c r="D2" s="34">
        <v>126.35</v>
      </c>
    </row>
    <row r="3" spans="1:4" ht="13" customHeight="1" x14ac:dyDescent="0.2">
      <c r="A3" s="35" t="s">
        <v>121</v>
      </c>
      <c r="B3" s="36">
        <v>-1830</v>
      </c>
      <c r="C3" s="37">
        <v>270</v>
      </c>
      <c r="D3" s="37">
        <v>126.35</v>
      </c>
    </row>
    <row r="4" spans="1:4" ht="13" customHeight="1" x14ac:dyDescent="0.2">
      <c r="A4" s="35" t="s">
        <v>122</v>
      </c>
      <c r="B4" s="36">
        <v>-1579.2370000000001</v>
      </c>
      <c r="C4" s="37">
        <v>573.947</v>
      </c>
      <c r="D4" s="37">
        <v>163.18</v>
      </c>
    </row>
    <row r="5" spans="1:4" ht="13" customHeight="1" x14ac:dyDescent="0.2">
      <c r="A5" s="35" t="s">
        <v>123</v>
      </c>
      <c r="B5" s="36">
        <v>-1390</v>
      </c>
      <c r="C5" s="37">
        <v>305</v>
      </c>
      <c r="D5" s="37">
        <v>328.98099999999999</v>
      </c>
    </row>
    <row r="6" spans="1:4" ht="13" customHeight="1" x14ac:dyDescent="0.2">
      <c r="A6" s="35" t="s">
        <v>124</v>
      </c>
      <c r="B6" s="36">
        <v>-1830</v>
      </c>
      <c r="C6" s="37">
        <v>270</v>
      </c>
      <c r="D6" s="37">
        <v>354.47500000000002</v>
      </c>
    </row>
    <row r="7" spans="1:4" ht="13" customHeight="1" x14ac:dyDescent="0.2">
      <c r="A7" s="35" t="s">
        <v>125</v>
      </c>
      <c r="B7" s="36">
        <v>-1569.845</v>
      </c>
      <c r="C7" s="37">
        <v>506.33</v>
      </c>
      <c r="D7" s="37">
        <v>408.15100000000001</v>
      </c>
    </row>
    <row r="8" spans="1:4" ht="13" customHeight="1" x14ac:dyDescent="0.2">
      <c r="A8" s="35" t="s">
        <v>126</v>
      </c>
      <c r="B8" s="36">
        <v>-1568.8710000000001</v>
      </c>
      <c r="C8" s="37">
        <v>566.64200000000005</v>
      </c>
      <c r="D8" s="37">
        <v>294.82</v>
      </c>
    </row>
    <row r="9" spans="1:4" ht="13" customHeight="1" x14ac:dyDescent="0.2">
      <c r="A9" s="35" t="s">
        <v>127</v>
      </c>
      <c r="B9" s="36">
        <v>-1574.5989999999999</v>
      </c>
      <c r="C9" s="37">
        <v>623.53200000000004</v>
      </c>
      <c r="D9" s="37">
        <v>286.04000000000002</v>
      </c>
    </row>
    <row r="10" spans="1:4" ht="13" customHeight="1" x14ac:dyDescent="0.2">
      <c r="A10" s="35" t="s">
        <v>128</v>
      </c>
      <c r="B10" s="36">
        <v>-1830</v>
      </c>
      <c r="C10" s="37">
        <v>270</v>
      </c>
      <c r="D10" s="37">
        <v>193.642</v>
      </c>
    </row>
    <row r="11" spans="1:4" ht="13" customHeight="1" x14ac:dyDescent="0.2">
      <c r="A11" s="35" t="s">
        <v>129</v>
      </c>
      <c r="B11" s="36">
        <v>-1675.904</v>
      </c>
      <c r="C11" s="37">
        <v>576.73500000000001</v>
      </c>
      <c r="D11" s="37">
        <v>251.011</v>
      </c>
    </row>
    <row r="12" spans="1:4" ht="13" customHeight="1" x14ac:dyDescent="0.2">
      <c r="A12" s="35" t="s">
        <v>130</v>
      </c>
      <c r="B12" s="36">
        <v>-1395.9760000000001</v>
      </c>
      <c r="C12" s="37">
        <v>283.399</v>
      </c>
      <c r="D12" s="37">
        <v>436.10300000000001</v>
      </c>
    </row>
    <row r="13" spans="1:4" ht="13" customHeight="1" x14ac:dyDescent="0.2">
      <c r="A13" s="35" t="s">
        <v>131</v>
      </c>
      <c r="B13" s="36">
        <v>-1579.1110000000001</v>
      </c>
      <c r="C13" s="37">
        <v>267.07299999999998</v>
      </c>
      <c r="D13" s="37">
        <v>484.01</v>
      </c>
    </row>
    <row r="14" spans="1:4" ht="13" customHeight="1" x14ac:dyDescent="0.2">
      <c r="A14" s="35" t="s">
        <v>132</v>
      </c>
      <c r="B14" s="36">
        <v>-1597.194</v>
      </c>
      <c r="C14" s="37">
        <v>526.39499999999998</v>
      </c>
      <c r="D14" s="37">
        <v>180.96700000000001</v>
      </c>
    </row>
    <row r="15" spans="1:4" ht="13" customHeight="1" x14ac:dyDescent="0.2">
      <c r="A15" s="35" t="s">
        <v>133</v>
      </c>
      <c r="B15" s="36">
        <v>-1664.6120000000001</v>
      </c>
      <c r="C15" s="37">
        <v>349.04700000000003</v>
      </c>
      <c r="D15" s="37">
        <v>403.92399999999998</v>
      </c>
    </row>
    <row r="16" spans="1:4" ht="13" customHeight="1" x14ac:dyDescent="0.2">
      <c r="A16" s="35" t="s">
        <v>134</v>
      </c>
      <c r="B16" s="36">
        <v>-1585.771</v>
      </c>
      <c r="C16" s="37">
        <v>318.42700000000002</v>
      </c>
      <c r="D16" s="37">
        <v>426.35</v>
      </c>
    </row>
    <row r="17" spans="1:4" ht="13" customHeight="1" x14ac:dyDescent="0.2">
      <c r="A17" s="35" t="s">
        <v>135</v>
      </c>
      <c r="B17" s="36">
        <v>-1830</v>
      </c>
      <c r="C17" s="37">
        <v>305</v>
      </c>
      <c r="D17" s="37">
        <v>401.35</v>
      </c>
    </row>
    <row r="18" spans="1:4" ht="13" customHeight="1" x14ac:dyDescent="0.2">
      <c r="A18" s="35" t="s">
        <v>136</v>
      </c>
      <c r="B18" s="36">
        <v>-1830</v>
      </c>
      <c r="C18" s="37">
        <v>305</v>
      </c>
      <c r="D18" s="37">
        <v>448.35</v>
      </c>
    </row>
    <row r="19" spans="1:4" ht="13" customHeight="1" x14ac:dyDescent="0.2">
      <c r="A19" s="35" t="s">
        <v>137</v>
      </c>
      <c r="B19" s="36">
        <v>-1600.4860000000001</v>
      </c>
      <c r="C19" s="37">
        <v>287.56599999999997</v>
      </c>
      <c r="D19" s="37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Tudor Manciu</dc:creator>
  <cp:keywords/>
  <dc:description/>
  <cp:lastModifiedBy>Andrei Dragos Ganea</cp:lastModifiedBy>
  <cp:revision/>
  <dcterms:created xsi:type="dcterms:W3CDTF">2025-09-27T09:16:51Z</dcterms:created>
  <dcterms:modified xsi:type="dcterms:W3CDTF">2026-05-30T12:29:51Z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