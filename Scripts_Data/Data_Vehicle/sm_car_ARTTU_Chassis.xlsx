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Features/Scripts_Data/Data_Vehicle/"/>
    </mc:Choice>
  </mc:AlternateContent>
  <xr:revisionPtr revIDLastSave="0" documentId="13_ncr:1_{3946D06C-EA0D-6E42-8DDA-475E0D174EE0}" xr6:coauthVersionLast="47" xr6:coauthVersionMax="47" xr10:uidLastSave="{00000000-0000-0000-0000-000000000000}"/>
  <bookViews>
    <workbookView xWindow="8740" yWindow="800" windowWidth="16880" windowHeight="19540" firstSheet="7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<sst xmlns="http://schemas.openxmlformats.org/spreadsheetml/2006/main" count="511" uniqueCount="158">
  <si>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</si>
  <si>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</si>
  <si>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</si>
  <si>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</si>
  <si>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</si>
  <si>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</si>
  <si>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</si>
  <si>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</si>
  <si>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</si>
  <si>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</si>
  <si>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</si>
  <si>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</si>
  <si>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</si>
  <si>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</si>
  <si>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</si>
  <si>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</si>
  <si>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</si>
  <si>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</si>
  <si>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</si>
  <si>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</si>
  <si>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</si>
  <si>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</si>
  <si>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</si>
  <si>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</si>
  <si>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</si>
  <si>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</si>
  <si>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</si>
  <si>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</si>
  <si>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</si>
  <si>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</si>
  <si>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</si>
  <si>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</si>
  <si>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</si>
  <si>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</si>
  <si>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</si>
  <si>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</si>
  <si>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</si>
  <si>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</si>
  <si>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</si>
  <si>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</si>
  <si>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</si>
  <si>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</si>
  <si>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</si>
  <si>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</si>
  <si>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</si>
  <si>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</si>
  <si>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</si>
  <si>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</si>
  <si>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</si>
  <si>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</si>
  <si>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</si>
  <si>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</si>
  <si>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</si>
  <si>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</si>
  <si>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</si>
  <si>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</si>
  <si>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</si>
  <si>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</si>
  <si>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</si>
  <si>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</si>
  <si>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</si>
  <si>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</si>
  <si>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</si>
  <si>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</si>
  <si>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</si>
  <si>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</si>
  <si>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</si>
  <si>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</si>
  <si>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</si>
  <si>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</si>
  <si>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</si>
  <si>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</si>
  <si>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</si>
  <si>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</si>
  <si>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</si>
  <si>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</si>
  <si>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</si>
  <si>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</si>
  <si>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</si>
  <si>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</si>
  <si>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</si>
  <si>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</si>
  <si>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</si>
  <si>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</si>
  <si>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</si>
  <si>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</si>
  <si>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</si>
  <si>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</si>
  <si>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</si>
  <si>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</si>
  <si>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</si>
  <si>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</si>
  <si>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</si>
  <si>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</si>
  <si>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</si>
  <si>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</si>
  <si>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</si>
  <si>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</si>
  <si>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</si>
  <si>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</si>
  <si>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</si>
  <si>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</si>
  <si>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</si>
  <si>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</si>
  <si>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</si>
  <si>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MFMbody_Hoosier</t>
  </si>
  <si>
    <t>MFMbody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</si>
  <si>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</si>
  <si>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</si>
  <si>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</si>
  <si>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</si>
  <si>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</si>
  <si>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</si>
  <si>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</si>
  <si>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</si>
  <si>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</si>
  <si>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</si>
  <si>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</si>
  <si>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</si>
  <si>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</si>
  <si>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</si>
  <si>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</si>
  <si>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</si>
  <si>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</si>
  <si>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</si>
  <si>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</si>
  <si>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</si>
  <si>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</si>
  <si>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</si>
  <si>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</si>
  <si>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</si>
  <si>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</si>
  <si>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</si>
  <si>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</si>
  <si>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</si>
  <si>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</si>
  <si>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</si>
  <si>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</si>
  <si>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</si>
  <si>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</si>
  <si>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</si>
  <si>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</si>
  <si>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</si>
  <si>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</si>
  <si>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</si>
  <si>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</si>
  <si>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</si>
  <si>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</si>
  <si>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</si>
  <si>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</si>
  <si>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</si>
  <si>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</si>
  <si>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</si>
  <si>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</si>
  <si>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</si>
  <si>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</si>
  <si>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</si>
  <si>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which('fsTireData.tir')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</si>
</sst>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0.153]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0.381393]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0.270346]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155</v>
      </c>
      <c r="C14" s="25" t="str" cm="1">
        <f t="array" ref="C14">"["&amp;_xlfn.TEXTJOIN(" ",TRUE,HardpointsFr!B9/1000,HardpointsFr!C9/1000,HardpointsFr!D9/1000)&amp;"]"</f>
        <v>[0 0.64 0.267361]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149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0.195444]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153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152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0.185705]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148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147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0.1445]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0.389471]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0.276144]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155</v>
      </c>
      <c r="C14" s="24" t="str">
        <f>"["&amp;_xlfn.TEXTJOIN(" ",TRUE,HardpointsRr!B9/1000 +1.575,HardpointsRr!C9/1000,HardpointsRr!D9/1000)&amp;"]"</f>
        <v>[0.000401000000000096 0.623532 0.267361]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149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0.232331]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152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153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0.162287]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156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90" zoomScaleNormal="90" workbookViewId="0">
      <selection activeCell="A9" sqref="A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-3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-1.8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151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C11" sqref="C1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150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150</v>
      </c>
      <c r="C10" s="21">
        <v>0.01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E33" sqref="E3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2"/>
  <sheetViews>
    <sheetView tabSelected="1" topLeftCell="B2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105</v>
      </c>
      <c r="D3" s="9"/>
      <c r="E3" s="10"/>
    </row>
    <row r="4" spans="1:5" ht="16" thickBot="1" x14ac:dyDescent="0.25">
      <c r="A4" s="6" t="s">
        <v>8</v>
      </c>
      <c r="B4" s="7"/>
      <c r="C4" s="105" t="s">
        <v>106</v>
      </c>
      <c r="D4" s="9"/>
      <c r="E4" s="10"/>
    </row>
    <row r="5" spans="1:5" ht="17" thickBot="1" x14ac:dyDescent="0.25">
      <c r="A5" s="95" t="s">
        <v>107</v>
      </c>
      <c r="B5" s="77"/>
      <c r="C5" s="124" t="s">
        <v>157</v>
      </c>
      <c r="D5" s="106" t="s">
        <v>108</v>
      </c>
      <c r="E5" s="107" t="s">
        <v>109</v>
      </c>
    </row>
    <row r="6" spans="1:5" ht="17" thickBot="1" x14ac:dyDescent="0.25">
      <c r="A6" s="95" t="s">
        <v>110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111</v>
      </c>
      <c r="B7" s="77"/>
      <c r="C7" s="103" t="s">
        <v>112</v>
      </c>
      <c r="D7" s="106" t="s">
        <v>113</v>
      </c>
      <c r="E7" s="30"/>
    </row>
    <row r="8" spans="1:5" ht="17" thickBot="1" x14ac:dyDescent="0.25">
      <c r="A8" s="95" t="s">
        <v>114</v>
      </c>
      <c r="B8" s="77"/>
      <c r="C8" s="108" t="s">
        <v>115</v>
      </c>
      <c r="D8" s="106" t="s">
        <v>108</v>
      </c>
      <c r="E8" s="30"/>
    </row>
    <row r="9" spans="1:5" ht="17" thickBot="1" x14ac:dyDescent="0.25">
      <c r="A9" s="95" t="s">
        <v>116</v>
      </c>
      <c r="B9" s="77"/>
      <c r="C9" s="103">
        <v>25000</v>
      </c>
      <c r="D9" s="106"/>
      <c r="E9" s="30"/>
    </row>
    <row r="10" spans="1:5" ht="17" thickBot="1" x14ac:dyDescent="0.25">
      <c r="A10" s="95" t="s">
        <v>117</v>
      </c>
      <c r="B10" s="77"/>
      <c r="C10" s="103">
        <v>0.01</v>
      </c>
      <c r="D10" s="106" t="s">
        <v>118</v>
      </c>
      <c r="E10" s="107" t="s">
        <v>119</v>
      </c>
    </row>
    <row r="11" spans="1:5" ht="17" customHeight="1" x14ac:dyDescent="0.2">
      <c r="A11" s="139" t="s">
        <v>120</v>
      </c>
      <c r="B11" s="109" t="s">
        <v>8</v>
      </c>
      <c r="C11" s="110" t="s">
        <v>154</v>
      </c>
      <c r="D11" s="94"/>
      <c r="E11" s="74"/>
    </row>
    <row r="12" spans="1:5" ht="16" thickBot="1" x14ac:dyDescent="0.25">
      <c r="A12" s="147"/>
      <c r="B12" s="111" t="s">
        <v>121</v>
      </c>
      <c r="C12" s="112" t="s">
        <v>11</v>
      </c>
      <c r="D12" s="113" t="s">
        <v>12</v>
      </c>
      <c r="E12" s="114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workbookViewId="0">
      <selection activeCell="B9" sqref="B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127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128</v>
      </c>
      <c r="B4" s="39">
        <v>11.946</v>
      </c>
      <c r="C4" s="40">
        <v>587.82100000000003</v>
      </c>
      <c r="D4" s="40">
        <v>153</v>
      </c>
    </row>
    <row r="5" spans="1:4" ht="13" customHeight="1" x14ac:dyDescent="0.2">
      <c r="A5" s="38" t="s">
        <v>129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130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131</v>
      </c>
      <c r="B7" s="39">
        <v>-12.932</v>
      </c>
      <c r="C7" s="40">
        <v>518.67999999999995</v>
      </c>
      <c r="D7" s="40">
        <v>381.39299999999997</v>
      </c>
    </row>
    <row r="8" spans="1:4" ht="13" customHeight="1" x14ac:dyDescent="0.2">
      <c r="A8" s="38" t="s">
        <v>132</v>
      </c>
      <c r="B8" s="39">
        <v>16.193999999999999</v>
      </c>
      <c r="C8" s="40">
        <v>582.05899999999997</v>
      </c>
      <c r="D8" s="40">
        <v>270.346</v>
      </c>
    </row>
    <row r="9" spans="1:4" ht="13" customHeight="1" x14ac:dyDescent="0.2">
      <c r="A9" s="38" t="s">
        <v>133</v>
      </c>
      <c r="B9" s="39">
        <v>0</v>
      </c>
      <c r="C9" s="40">
        <v>640</v>
      </c>
      <c r="D9" s="40">
        <v>267.36099999999999</v>
      </c>
    </row>
    <row r="10" spans="1:4" ht="13" customHeight="1" x14ac:dyDescent="0.2">
      <c r="A10" s="38" t="s">
        <v>134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135</v>
      </c>
      <c r="B11" s="39">
        <v>85.097999999999999</v>
      </c>
      <c r="C11" s="40">
        <v>575.40700000000004</v>
      </c>
      <c r="D11" s="40">
        <v>195.44399999999999</v>
      </c>
    </row>
    <row r="12" spans="1:4" ht="13" customHeight="1" x14ac:dyDescent="0.2">
      <c r="A12" s="38" t="s">
        <v>136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137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138</v>
      </c>
      <c r="B14" s="39">
        <v>11.821</v>
      </c>
      <c r="C14" s="40">
        <v>550</v>
      </c>
      <c r="D14" s="40">
        <v>185.70500000000001</v>
      </c>
    </row>
    <row r="15" spans="1:4" ht="13" customHeight="1" x14ac:dyDescent="0.2">
      <c r="A15" s="38" t="s">
        <v>139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140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141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142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143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144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145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9" sqref="D9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127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128</v>
      </c>
      <c r="B4" s="39">
        <v>-1579.2370000000001</v>
      </c>
      <c r="C4" s="40">
        <v>573.947</v>
      </c>
      <c r="D4" s="40">
        <v>144.5</v>
      </c>
    </row>
    <row r="5" spans="1:4" ht="13" customHeight="1" x14ac:dyDescent="0.2">
      <c r="A5" s="38" t="s">
        <v>129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130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131</v>
      </c>
      <c r="B7" s="39">
        <v>-1569.845</v>
      </c>
      <c r="C7" s="40">
        <v>506.33</v>
      </c>
      <c r="D7" s="40">
        <v>389.471</v>
      </c>
    </row>
    <row r="8" spans="1:4" ht="13" customHeight="1" x14ac:dyDescent="0.2">
      <c r="A8" s="38" t="s">
        <v>132</v>
      </c>
      <c r="B8" s="39">
        <v>-1568.8710000000001</v>
      </c>
      <c r="C8" s="40">
        <v>566.64200000000005</v>
      </c>
      <c r="D8" s="40">
        <v>276.14400000000001</v>
      </c>
    </row>
    <row r="9" spans="1:4" ht="13" customHeight="1" x14ac:dyDescent="0.2">
      <c r="A9" s="38" t="s">
        <v>133</v>
      </c>
      <c r="B9" s="39">
        <v>-1574.5989999999999</v>
      </c>
      <c r="C9" s="40">
        <v>623.53200000000004</v>
      </c>
      <c r="D9" s="40">
        <v>267.36099999999999</v>
      </c>
    </row>
    <row r="10" spans="1:4" ht="13" customHeight="1" x14ac:dyDescent="0.2">
      <c r="A10" s="38" t="s">
        <v>134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135</v>
      </c>
      <c r="B11" s="39">
        <v>-1675.904</v>
      </c>
      <c r="C11" s="40">
        <v>576.73500000000001</v>
      </c>
      <c r="D11" s="40">
        <v>232.33099999999999</v>
      </c>
    </row>
    <row r="12" spans="1:4" ht="13" customHeight="1" x14ac:dyDescent="0.2">
      <c r="A12" s="38" t="s">
        <v>136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137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138</v>
      </c>
      <c r="B14" s="39">
        <v>-1597.194</v>
      </c>
      <c r="C14" s="40">
        <v>526.39499999999998</v>
      </c>
      <c r="D14" s="40">
        <v>162.28700000000001</v>
      </c>
    </row>
    <row r="15" spans="1:4" ht="13" customHeight="1" x14ac:dyDescent="0.2">
      <c r="A15" s="38" t="s">
        <v>139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140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141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142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143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2025-12-03T14:31:39Z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