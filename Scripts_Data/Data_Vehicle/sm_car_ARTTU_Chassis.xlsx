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Model/Scripts_Data/Data_Vehicle/"/>
    </mc:Choice>
  </mc:AlternateContent>
  <xr:revisionPtr revIDLastSave="0" documentId="13_ncr:1_{402F1203-1605-0347-9B26-9A9C86B4D4C9}" xr6:coauthVersionLast="47" xr6:coauthVersionMax="47" xr10:uidLastSave="{00000000-0000-0000-0000-000000000000}"/>
  <bookViews>
    <workbookView xWindow="5340" yWindow="700" windowWidth="24720" windowHeight="19840" firstSheet="1" activeTab="9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Tire" sheetId="14" r:id="rId12"/>
    <sheet name="HardpointsFr" sheetId="10" r:id="rId13"/>
    <sheet name="HardpointsRr" sheetId="11" r:id="rId1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<sst xmlns="http://schemas.openxmlformats.org/spreadsheetml/2006/main" count="515" uniqueCount="162">
  <si>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</si>
  <si>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</si>
  <si>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</si>
  <si>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</si>
  <si>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</si>
  <si>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</si>
  <si>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</si>
  <si>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</si>
  <si>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</si>
  <si>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</si>
  <si>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</si>
  <si>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</si>
  <si>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</si>
  <si>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</si>
  <si>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</si>
  <si>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</si>
  <si>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</si>
  <si>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</si>
  <si>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</si>
  <si>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</si>
  <si>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</si>
  <si>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</si>
  <si>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</si>
  <si>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</si>
  <si>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</si>
  <si>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</si>
  <si>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</si>
  <si>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</si>
  <si>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</si>
  <si>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</si>
  <si>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</si>
  <si>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</si>
  <si>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</si>
  <si>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</si>
  <si>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</si>
  <si>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</si>
  <si>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</si>
  <si>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</si>
  <si>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</si>
  <si>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</si>
  <si>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</si>
  <si>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</si>
  <si>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</si>
  <si>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</si>
  <si>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</si>
  <si>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</si>
  <si>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</si>
  <si>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</si>
  <si>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</si>
  <si>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</si>
  <si>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</si>
  <si>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</si>
  <si>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</si>
  <si>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</si>
  <si>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</si>
  <si>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</si>
  <si>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</si>
  <si>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</si>
  <si>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</si>
  <si>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</si>
  <si>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</si>
  <si>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</si>
  <si>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</si>
  <si>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</si>
  <si>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</si>
  <si>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</si>
  <si>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</si>
  <si>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</si>
  <si>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</si>
  <si>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</si>
  <si>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</si>
  <si>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</si>
  <si>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N/rad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</si>
  <si>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</si>
  <si>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</si>
  <si>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</si>
  <si>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</si>
  <si>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</si>
  <si>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</si>
  <si>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</si>
  <si>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</si>
  <si>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M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</si>
  <si>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</si>
  <si>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</si>
  <si>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</si>
  <si>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</si>
  <si>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</si>
  <si>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</si>
  <si>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</si>
  <si>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</si>
  <si>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</si>
  <si>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</si>
  <si>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</si>
  <si>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</si>
  <si>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</si>
  <si>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</si>
  <si>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</si>
  <si>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</si>
  <si>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</si>
  <si>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</si>
  <si>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</si>
  <si>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</si>
  <si>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</si>
  <si>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</si>
  <si>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</si>
  <si>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</si>
  <si>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</si>
  <si>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</si>
  <si>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</si>
  <si>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</si>
  <si>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</si>
  <si>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</si>
  <si>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</si>
  <si>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</si>
  <si>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</si>
  <si>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</si>
  <si>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</si>
  <si>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</si>
  <si>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</si>
  <si>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</si>
  <si>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</si>
  <si>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</si>
  <si>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</si>
  <si>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</si>
  <si>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</si>
  <si>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</si>
  <si>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</si>
  <si>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</si>
  <si>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</si>
  <si>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</si>
  <si>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</si>
  <si>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</si>
  <si>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</si>
  <si>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</si>
  <si>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</si>
  <si>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</si>
  <si>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</si>
  <si>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</si>
  <si>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</si>
  <si>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</si>
  <si>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</si>
  <si>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</si>
  <si>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</si>
  <si>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</si>
  <si>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</si>
  <si>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</si>
  <si>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</si>
  <si>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</si>
  <si>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</si>
  <si>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</si>
  <si>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</si>
  <si>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</si>
  <si>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</si>
  <si>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</si>
  <si>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</si>
  <si>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</si>
  <si>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</si>
  <si>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1 combined</t>
  </si>
  <si>
    <t>MFEval</t>
  </si>
  <si>
    <t>MFEval_Hoosier</t>
  </si>
  <si>
    <t>which('Hoosier_R20B_20p5x7_R13_7in_12psi.tir')</t>
  </si>
  <si>
    <t>1 steady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</si>
</sst>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0"/>
  </numFmts>
  <fonts count="5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54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3" fontId="0" fillId="5" borderId="8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4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2" t="s">
        <v>10</v>
      </c>
      <c r="B5" s="77"/>
      <c r="C5" s="80" t="s">
        <v>11</v>
      </c>
      <c r="D5" s="12" t="s">
        <v>12</v>
      </c>
      <c r="E5" s="13" t="s">
        <v>13</v>
      </c>
    </row>
    <row r="6" spans="1:5" ht="15" customHeight="1" thickBot="1" x14ac:dyDescent="0.25">
      <c r="A6" s="122" t="s">
        <v>14</v>
      </c>
      <c r="B6" s="78"/>
      <c r="C6" s="79" t="s">
        <v>15</v>
      </c>
      <c r="D6" s="16" t="s">
        <v>12</v>
      </c>
      <c r="E6" s="17" t="s">
        <v>16</v>
      </c>
    </row>
    <row r="7" spans="1:5" ht="15" customHeight="1" thickBot="1" x14ac:dyDescent="0.25">
      <c r="A7" s="122" t="s">
        <v>17</v>
      </c>
      <c r="B7" s="78"/>
      <c r="C7" s="15" t="s">
        <v>18</v>
      </c>
      <c r="D7" s="16" t="s">
        <v>12</v>
      </c>
      <c r="E7" s="17"/>
    </row>
    <row r="8" spans="1:5" ht="15" customHeight="1" thickBot="1" x14ac:dyDescent="0.25">
      <c r="A8" s="122" t="s">
        <v>19</v>
      </c>
      <c r="B8" s="78"/>
      <c r="C8" s="79" t="s">
        <v>20</v>
      </c>
      <c r="D8" s="16" t="s">
        <v>12</v>
      </c>
      <c r="E8" s="17" t="s">
        <v>21</v>
      </c>
    </row>
    <row r="9" spans="1:5" ht="15" customHeight="1" thickBot="1" x14ac:dyDescent="0.25">
      <c r="A9" s="122" t="s">
        <v>22</v>
      </c>
      <c r="B9" s="78"/>
      <c r="C9" s="79" t="s">
        <v>23</v>
      </c>
      <c r="D9" s="16" t="s">
        <v>12</v>
      </c>
      <c r="E9" s="17" t="s">
        <v>21</v>
      </c>
    </row>
    <row r="10" spans="1:5" ht="15" customHeight="1" thickBot="1" x14ac:dyDescent="0.25">
      <c r="A10" s="122" t="s">
        <v>24</v>
      </c>
      <c r="B10" s="78"/>
      <c r="C10" s="79" t="s">
        <v>25</v>
      </c>
      <c r="D10" s="16" t="s">
        <v>12</v>
      </c>
      <c r="E10" s="17" t="s">
        <v>21</v>
      </c>
    </row>
    <row r="11" spans="1:5" ht="16" thickBot="1" x14ac:dyDescent="0.25">
      <c r="A11" s="122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2" t="s">
        <v>28</v>
      </c>
      <c r="B12" s="78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2" t="s">
        <v>29</v>
      </c>
      <c r="B13" s="78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2" t="s">
        <v>12</v>
      </c>
      <c r="B14" s="82"/>
      <c r="C14" s="84">
        <v>259.07</v>
      </c>
      <c r="D14" s="83" t="s">
        <v>30</v>
      </c>
      <c r="E14" s="85" t="s">
        <v>31</v>
      </c>
    </row>
    <row r="15" spans="1:5" ht="13.5" customHeight="1" x14ac:dyDescent="0.2">
      <c r="A15" s="122" t="s">
        <v>32</v>
      </c>
      <c r="B15" s="78"/>
      <c r="C15" s="87" t="s">
        <v>33</v>
      </c>
      <c r="D15" s="89" t="s">
        <v>34</v>
      </c>
      <c r="E15" s="86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7"/>
      <c r="C5" s="119" t="s">
        <v>144</v>
      </c>
      <c r="D5" s="120" t="s">
        <v>66</v>
      </c>
      <c r="E5" s="118"/>
    </row>
    <row r="6" spans="1:5" ht="14.5" customHeight="1" thickBot="1" x14ac:dyDescent="0.25">
      <c r="A6" s="6" t="s">
        <v>64</v>
      </c>
      <c r="B6" s="81"/>
      <c r="C6" s="88" t="s">
        <v>65</v>
      </c>
      <c r="D6" s="90" t="s">
        <v>66</v>
      </c>
      <c r="E6" s="23"/>
    </row>
    <row r="7" spans="1:5" ht="14.5" customHeight="1" thickBot="1" x14ac:dyDescent="0.25">
      <c r="A7" s="6" t="s">
        <v>67</v>
      </c>
      <c r="B7" s="81"/>
      <c r="C7" s="88" t="s">
        <v>67</v>
      </c>
      <c r="D7" s="90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8" sqref="C18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39</v>
      </c>
      <c r="D4" s="9"/>
      <c r="E4" s="10"/>
    </row>
    <row r="5" spans="1:5" s="1" customFormat="1" ht="14" customHeight="1" x14ac:dyDescent="0.2">
      <c r="A5" s="133" t="s">
        <v>40</v>
      </c>
      <c r="B5" s="77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31"/>
      <c r="B6" s="78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34"/>
      <c r="B7" s="78" t="s">
        <v>44</v>
      </c>
      <c r="C7" s="25" t="str" cm="1">
        <f t="array" ref="C7">"["&amp;_xlfn.TEXTJOIN(" ",TRUE,HardpointsFr!B4/1000,HardpointsFr!C4/1000,HardpointsFr!D4/1000)&amp;"]"</f>
        <v>[0.011946 0.587821 0.156]</v>
      </c>
      <c r="D7" s="16" t="s">
        <v>12</v>
      </c>
      <c r="E7" s="17" t="s">
        <v>42</v>
      </c>
    </row>
    <row r="8" spans="1:5" s="1" customFormat="1" ht="14" customHeight="1" thickBot="1" x14ac:dyDescent="0.25">
      <c r="A8" s="134"/>
      <c r="B8" s="81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35" t="s">
        <v>45</v>
      </c>
      <c r="B9" s="77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32"/>
      <c r="B10" s="78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32"/>
      <c r="B11" s="78" t="s">
        <v>44</v>
      </c>
      <c r="C11" s="25" t="str" cm="1">
        <f t="array" ref="C11">"["&amp;_xlfn.TEXTJOIN(" ",TRUE,HardpointsFr!B7/1000,HardpointsFr!C7/1000,HardpointsFr!D7/1000)&amp;"]"</f>
        <v>[-0.012932 0.51868 0.374393]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31"/>
      <c r="B12" s="81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36" t="s">
        <v>46</v>
      </c>
      <c r="B13" s="77" t="s">
        <v>17</v>
      </c>
      <c r="C13" s="24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34"/>
      <c r="B14" s="78" t="s">
        <v>153</v>
      </c>
      <c r="C14" s="25" t="str" cm="1">
        <f t="array" ref="C14">"["&amp;_xlfn.TEXTJOIN(" ",TRUE,HardpointsFr!B9/1000,HardpointsFr!C9/1000,HardpointsFr!D9/1000)&amp;"]"</f>
        <v>[0 0.64 0.260361]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34"/>
      <c r="B15" s="78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37"/>
      <c r="B16" s="78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32"/>
      <c r="B17" s="78" t="s">
        <v>49</v>
      </c>
      <c r="C17" s="26">
        <v>-2</v>
      </c>
      <c r="D17" s="16" t="s">
        <v>48</v>
      </c>
      <c r="E17" s="17"/>
    </row>
    <row r="18" spans="1:5" s="1" customFormat="1" ht="13.5" customHeight="1" x14ac:dyDescent="0.2">
      <c r="A18" s="132"/>
      <c r="B18" s="78" t="s">
        <v>50</v>
      </c>
      <c r="C18" s="115">
        <v>0.11</v>
      </c>
      <c r="D18" s="16" t="s">
        <v>12</v>
      </c>
      <c r="E18" s="17"/>
    </row>
    <row r="19" spans="1:5" s="1" customFormat="1" ht="13.5" customHeight="1" x14ac:dyDescent="0.2">
      <c r="A19" s="132"/>
      <c r="B19" s="78" t="s">
        <v>51</v>
      </c>
      <c r="C19" s="115">
        <v>0.03</v>
      </c>
      <c r="D19" s="16" t="s">
        <v>12</v>
      </c>
      <c r="E19" s="17"/>
    </row>
    <row r="20" spans="1:5" s="1" customFormat="1" ht="13.5" customHeight="1" thickBot="1" x14ac:dyDescent="0.25">
      <c r="A20" s="131"/>
      <c r="B20" s="81" t="s">
        <v>52</v>
      </c>
      <c r="C20" s="116">
        <v>1.5</v>
      </c>
      <c r="D20" s="22" t="s">
        <v>30</v>
      </c>
      <c r="E20" s="23"/>
    </row>
    <row r="21" spans="1:5" s="1" customFormat="1" ht="13.5" customHeight="1" x14ac:dyDescent="0.2">
      <c r="A21" s="130" t="s">
        <v>147</v>
      </c>
      <c r="B21" s="77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32"/>
      <c r="B22" s="14" t="s">
        <v>44</v>
      </c>
      <c r="C22" s="25" t="str" cm="1">
        <f t="array" ref="C22">"["&amp;_xlfn.TEXTJOIN(" ",TRUE,HardpointsFr!B11/1000,HardpointsFr!C11/1000,HardpointsFr!D11/1000)&amp;"]"</f>
        <v>[0.085098 0.575407 0.188444]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31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30" t="s">
        <v>54</v>
      </c>
      <c r="B24" s="77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32"/>
      <c r="B25" s="78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38"/>
      <c r="B26" s="82" t="s">
        <v>151</v>
      </c>
      <c r="C26" s="128">
        <v>1.2</v>
      </c>
      <c r="D26" s="129" t="s">
        <v>30</v>
      </c>
      <c r="E26" s="85"/>
    </row>
    <row r="27" spans="1:5" s="1" customFormat="1" ht="13.5" customHeight="1" thickBot="1" x14ac:dyDescent="0.25">
      <c r="A27" s="131"/>
      <c r="B27" s="81" t="s">
        <v>150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30" t="s">
        <v>57</v>
      </c>
      <c r="B28" s="77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1"/>
      <c r="B29" s="81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30" t="s">
        <v>60</v>
      </c>
      <c r="B30" s="91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32"/>
      <c r="B31" s="92" t="s">
        <v>44</v>
      </c>
      <c r="C31" s="25" t="str" cm="1">
        <f t="array" ref="C31">"["&amp;_xlfn.TEXTJOIN(" ",TRUE,HardpointsFr!B14/1000,HardpointsFr!C14/1000,HardpointsFr!D14/1000)&amp;"]"</f>
        <v>[0.011821 0.55 0.178705]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31"/>
      <c r="B32" s="93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30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32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31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topLeftCell="B1" zoomScale="131" workbookViewId="0">
      <selection activeCell="C17" sqref="C1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5" t="s">
        <v>70</v>
      </c>
      <c r="B6" s="77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6" t="s">
        <v>53</v>
      </c>
      <c r="B7" s="78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6" t="s">
        <v>44</v>
      </c>
      <c r="B8" s="78"/>
      <c r="C8" s="25" t="str" cm="1">
        <f t="array" ref="C8">"["&amp;_xlfn.TEXTJOIN(" ",TRUE,HardpointsFr!B18/1000,HardpointsFr!C18/1000,HardpointsFr!D18/1000)&amp;"]"</f>
        <v>[0.004 0.262849 0.101519]</v>
      </c>
      <c r="D8" s="16" t="s">
        <v>12</v>
      </c>
      <c r="E8" s="17" t="s">
        <v>42</v>
      </c>
    </row>
    <row r="9" spans="1:5" ht="13.5" customHeight="1" x14ac:dyDescent="0.2">
      <c r="A9" s="126" t="s">
        <v>71</v>
      </c>
      <c r="B9" s="78"/>
      <c r="C9" s="29">
        <v>81.933000000000007</v>
      </c>
      <c r="D9" s="16" t="s">
        <v>72</v>
      </c>
      <c r="E9" s="17"/>
    </row>
    <row r="10" spans="1:5" ht="13.5" customHeight="1" thickBot="1" x14ac:dyDescent="0.25">
      <c r="A10" s="127" t="s">
        <v>12</v>
      </c>
      <c r="B10" s="81"/>
      <c r="C10" s="21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D29" sqref="D29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73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74</v>
      </c>
      <c r="D4" s="9"/>
      <c r="E4" s="10"/>
    </row>
    <row r="5" spans="1:5" ht="14" customHeight="1" x14ac:dyDescent="0.2">
      <c r="A5" s="139" t="s">
        <v>75</v>
      </c>
      <c r="B5" s="77" t="s">
        <v>76</v>
      </c>
      <c r="C5" s="44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40"/>
      <c r="B6" s="96" t="s">
        <v>12</v>
      </c>
      <c r="C6" s="42">
        <v>0.87</v>
      </c>
      <c r="D6" s="43" t="s">
        <v>30</v>
      </c>
      <c r="E6" s="19"/>
    </row>
    <row r="7" spans="1:5" ht="14" customHeight="1" x14ac:dyDescent="0.2">
      <c r="A7" s="141"/>
      <c r="B7" s="78" t="s">
        <v>77</v>
      </c>
      <c r="C7" s="41">
        <v>50</v>
      </c>
      <c r="D7" s="16" t="s">
        <v>78</v>
      </c>
      <c r="E7" s="16"/>
    </row>
    <row r="8" spans="1:5" ht="14" customHeight="1" x14ac:dyDescent="0.2">
      <c r="A8" s="142" t="s">
        <v>79</v>
      </c>
      <c r="B8" s="78" t="s">
        <v>12</v>
      </c>
      <c r="C8" s="25">
        <v>0.5</v>
      </c>
      <c r="D8" s="89" t="s">
        <v>30</v>
      </c>
      <c r="E8" s="17"/>
    </row>
    <row r="9" spans="1:5" ht="14" customHeight="1" thickBot="1" x14ac:dyDescent="0.25">
      <c r="A9" s="143"/>
      <c r="B9" s="78" t="s">
        <v>76</v>
      </c>
      <c r="C9" s="41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showGridLines="0" workbookViewId="0">
      <selection activeCell="D13" sqref="D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6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6"/>
    </row>
    <row r="4" spans="1:5" ht="14" customHeight="1" thickBot="1" x14ac:dyDescent="0.25">
      <c r="A4" s="6" t="s">
        <v>8</v>
      </c>
      <c r="B4" s="7"/>
      <c r="C4" s="105" t="s">
        <v>37</v>
      </c>
      <c r="D4" s="9"/>
      <c r="E4" s="56"/>
    </row>
    <row r="5" spans="1:5" ht="14" customHeight="1" thickBot="1" x14ac:dyDescent="0.25">
      <c r="A5" s="6" t="s">
        <v>37</v>
      </c>
      <c r="B5" s="117"/>
      <c r="C5" s="119" t="s">
        <v>146</v>
      </c>
      <c r="D5" s="120" t="s">
        <v>66</v>
      </c>
      <c r="E5" s="121"/>
    </row>
    <row r="6" spans="1:5" ht="14.5" customHeight="1" thickBot="1" x14ac:dyDescent="0.25">
      <c r="A6" s="6" t="s">
        <v>64</v>
      </c>
      <c r="B6" s="81"/>
      <c r="C6" s="88" t="s">
        <v>80</v>
      </c>
      <c r="D6" s="90" t="s">
        <v>66</v>
      </c>
      <c r="E6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31" sqref="C31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145</v>
      </c>
      <c r="D4" s="9"/>
      <c r="E4" s="10"/>
    </row>
    <row r="5" spans="1:5" s="1" customFormat="1" ht="14" customHeight="1" thickBot="1" x14ac:dyDescent="0.25">
      <c r="A5" s="148" t="s">
        <v>40</v>
      </c>
      <c r="B5" s="77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7" t="s">
        <v>42</v>
      </c>
    </row>
    <row r="6" spans="1:5" s="1" customFormat="1" ht="16" thickBot="1" x14ac:dyDescent="0.25">
      <c r="A6" s="149"/>
      <c r="B6" s="78" t="s">
        <v>43</v>
      </c>
      <c r="C6" s="24" t="str">
        <f>"["&amp;_xlfn.TEXTJOIN(" ",TRUE,HardpointsRr!B3/1000 +1.575,HardpointsRr!C3/1000,HardpointsRr!D3/1000)&amp;"]"</f>
        <v>[-0.255 0.27 0.12635]</v>
      </c>
      <c r="D6" s="48" t="s">
        <v>12</v>
      </c>
      <c r="E6" s="58" t="s">
        <v>42</v>
      </c>
    </row>
    <row r="7" spans="1:5" s="1" customFormat="1" x14ac:dyDescent="0.2">
      <c r="A7" s="149"/>
      <c r="B7" s="78" t="s">
        <v>44</v>
      </c>
      <c r="C7" s="24" t="str">
        <f>"["&amp;_xlfn.TEXTJOIN(" ",TRUE,HardpointsRr!B4/1000 +1.575,HardpointsRr!C4/1000,HardpointsRr!D4/1000)&amp;"]"</f>
        <v>[-0.00423700000000005 0.573947 0.1375]</v>
      </c>
      <c r="D7" s="49" t="s">
        <v>12</v>
      </c>
      <c r="E7" s="59" t="s">
        <v>42</v>
      </c>
    </row>
    <row r="8" spans="1:5" s="1" customFormat="1" ht="14" customHeight="1" thickBot="1" x14ac:dyDescent="0.25">
      <c r="A8" s="150"/>
      <c r="B8" s="81" t="s">
        <v>12</v>
      </c>
      <c r="C8" s="51">
        <v>0.16500000000000001</v>
      </c>
      <c r="D8" s="50" t="s">
        <v>12</v>
      </c>
      <c r="E8" s="60"/>
    </row>
    <row r="9" spans="1:5" s="1" customFormat="1" ht="13.5" customHeight="1" thickBot="1" x14ac:dyDescent="0.25">
      <c r="A9" s="151" t="s">
        <v>45</v>
      </c>
      <c r="B9" s="77" t="s">
        <v>41</v>
      </c>
      <c r="C9" s="24" t="str">
        <f>"["&amp;_xlfn.TEXTJOIN(" ",TRUE,HardpointsRr!B5/1000 +1.575,HardpointsRr!C5/1000,HardpointsRr!D5/1000)&amp;"]"</f>
        <v>[0.185 0.305 0.328981]</v>
      </c>
      <c r="D9" s="52" t="s">
        <v>12</v>
      </c>
      <c r="E9" s="61" t="s">
        <v>42</v>
      </c>
    </row>
    <row r="10" spans="1:5" s="1" customFormat="1" ht="13.5" customHeight="1" thickBot="1" x14ac:dyDescent="0.25">
      <c r="A10" s="152"/>
      <c r="B10" s="78" t="s">
        <v>43</v>
      </c>
      <c r="C10" s="24" t="str">
        <f>"["&amp;_xlfn.TEXTJOIN(" ",TRUE,HardpointsRr!B6/1000 +1.575,HardpointsRr!C6/1000,HardpointsRr!D6/1000)&amp;"]"</f>
        <v>[-0.255 0.27 0.354475]</v>
      </c>
      <c r="D10" s="55" t="s">
        <v>12</v>
      </c>
      <c r="E10" s="62" t="s">
        <v>42</v>
      </c>
    </row>
    <row r="11" spans="1:5" s="1" customFormat="1" ht="13.5" customHeight="1" x14ac:dyDescent="0.2">
      <c r="A11" s="152"/>
      <c r="B11" s="78" t="s">
        <v>44</v>
      </c>
      <c r="C11" s="24" t="str">
        <f>"["&amp;_xlfn.TEXTJOIN(" ",TRUE,HardpointsRr!B7/1000 +1.575,HardpointsRr!C7/1000,HardpointsRr!D7/1000)&amp;"]"</f>
        <v>[0.00515500000000002 0.50633 0.382471]</v>
      </c>
      <c r="D11" s="53" t="s">
        <v>12</v>
      </c>
      <c r="E11" s="63" t="s">
        <v>42</v>
      </c>
    </row>
    <row r="12" spans="1:5" s="1" customFormat="1" ht="13.5" customHeight="1" thickBot="1" x14ac:dyDescent="0.25">
      <c r="A12" s="153"/>
      <c r="B12" s="81" t="s">
        <v>12</v>
      </c>
      <c r="C12" s="21">
        <v>0.12</v>
      </c>
      <c r="D12" s="54" t="s">
        <v>30</v>
      </c>
      <c r="E12" s="64" t="s">
        <v>42</v>
      </c>
    </row>
    <row r="13" spans="1:5" s="1" customFormat="1" ht="13.5" customHeight="1" thickBot="1" x14ac:dyDescent="0.25">
      <c r="A13" s="139" t="s">
        <v>46</v>
      </c>
      <c r="B13" s="77" t="s">
        <v>17</v>
      </c>
      <c r="C13" s="24" t="str">
        <f>"["&amp;_xlfn.TEXTJOIN(" ",TRUE,HardpointsRr!B8/1000 +1.575,HardpointsRr!C8/1000,HardpointsRr!D8/1000)&amp;"]"</f>
        <v>[0.00612899999999983 0.566642 0.269144]</v>
      </c>
      <c r="D13" s="12" t="s">
        <v>12</v>
      </c>
      <c r="E13" s="57" t="s">
        <v>42</v>
      </c>
    </row>
    <row r="14" spans="1:5" s="1" customFormat="1" ht="13.5" customHeight="1" x14ac:dyDescent="0.2">
      <c r="A14" s="140"/>
      <c r="B14" s="78" t="s">
        <v>153</v>
      </c>
      <c r="C14" s="24" t="str">
        <f>"["&amp;_xlfn.TEXTJOIN(" ",TRUE,HardpointsRr!B9/1000 +1.575,HardpointsRr!C9/1000,HardpointsRr!D9/1000)&amp;"]"</f>
        <v>[0.000401000000000096 0.623532 0.260361]</v>
      </c>
      <c r="D14" s="45" t="s">
        <v>12</v>
      </c>
      <c r="E14" s="65" t="s">
        <v>42</v>
      </c>
    </row>
    <row r="15" spans="1:5" s="1" customFormat="1" ht="13.5" customHeight="1" x14ac:dyDescent="0.2">
      <c r="A15" s="140"/>
      <c r="B15" s="78" t="s">
        <v>12</v>
      </c>
      <c r="C15" s="26">
        <v>1</v>
      </c>
      <c r="D15" s="45" t="s">
        <v>30</v>
      </c>
      <c r="E15" s="66"/>
    </row>
    <row r="16" spans="1:5" s="1" customFormat="1" ht="13.5" customHeight="1" x14ac:dyDescent="0.2">
      <c r="A16" s="140"/>
      <c r="B16" s="78" t="s">
        <v>47</v>
      </c>
      <c r="C16" s="26">
        <v>0</v>
      </c>
      <c r="D16" s="16" t="s">
        <v>48</v>
      </c>
      <c r="E16" s="64"/>
    </row>
    <row r="17" spans="1:5" s="1" customFormat="1" ht="13.5" customHeight="1" x14ac:dyDescent="0.2">
      <c r="A17" s="140"/>
      <c r="B17" s="78" t="s">
        <v>49</v>
      </c>
      <c r="C17" s="26">
        <v>-1</v>
      </c>
      <c r="D17" s="16" t="s">
        <v>48</v>
      </c>
      <c r="E17" s="67"/>
    </row>
    <row r="18" spans="1:5" s="1" customFormat="1" ht="13.5" customHeight="1" x14ac:dyDescent="0.2">
      <c r="A18" s="140"/>
      <c r="B18" s="78" t="s">
        <v>50</v>
      </c>
      <c r="C18" s="115">
        <v>0.11</v>
      </c>
      <c r="D18" s="16" t="s">
        <v>12</v>
      </c>
      <c r="E18" s="67"/>
    </row>
    <row r="19" spans="1:5" s="1" customFormat="1" ht="13.5" customHeight="1" x14ac:dyDescent="0.2">
      <c r="A19" s="140"/>
      <c r="B19" s="78" t="s">
        <v>51</v>
      </c>
      <c r="C19" s="115">
        <v>0.03</v>
      </c>
      <c r="D19" s="16" t="s">
        <v>12</v>
      </c>
      <c r="E19" s="67"/>
    </row>
    <row r="20" spans="1:5" s="1" customFormat="1" ht="13.5" customHeight="1" thickBot="1" x14ac:dyDescent="0.25">
      <c r="A20" s="147"/>
      <c r="B20" s="81" t="s">
        <v>52</v>
      </c>
      <c r="C20" s="116">
        <v>1.5</v>
      </c>
      <c r="D20" s="22" t="s">
        <v>30</v>
      </c>
      <c r="E20" s="68"/>
    </row>
    <row r="21" spans="1:5" s="1" customFormat="1" ht="13.5" customHeight="1" thickBot="1" x14ac:dyDescent="0.25">
      <c r="A21" s="139" t="s">
        <v>147</v>
      </c>
      <c r="B21" s="77" t="s">
        <v>53</v>
      </c>
      <c r="C21" s="24" t="str">
        <f>"["&amp;_xlfn.TEXTJOIN(" ",TRUE,HardpointsRr!B10/1000 +1.575,HardpointsRr!C10/1000,HardpointsRr!D10/1000)&amp;"]"</f>
        <v>[-0.255 0.27 0.193642]</v>
      </c>
      <c r="D21" s="46" t="s">
        <v>12</v>
      </c>
      <c r="E21" s="69" t="s">
        <v>42</v>
      </c>
    </row>
    <row r="22" spans="1:5" s="1" customFormat="1" ht="13.5" customHeight="1" x14ac:dyDescent="0.2">
      <c r="A22" s="140"/>
      <c r="B22" s="14" t="s">
        <v>44</v>
      </c>
      <c r="C22" s="24" t="str">
        <f>"["&amp;_xlfn.TEXTJOIN(" ",TRUE,HardpointsRr!B11/1000 +1.575,HardpointsRr!C11/1000,HardpointsRr!D11/1000)&amp;"]"</f>
        <v>[-0.100904 0.576735 0.225331]</v>
      </c>
      <c r="D22" s="45" t="s">
        <v>12</v>
      </c>
      <c r="E22" s="62" t="s">
        <v>42</v>
      </c>
    </row>
    <row r="23" spans="1:5" s="1" customFormat="1" ht="13.5" customHeight="1" thickBot="1" x14ac:dyDescent="0.25">
      <c r="A23" s="147"/>
      <c r="B23" s="20" t="s">
        <v>12</v>
      </c>
      <c r="C23" s="27">
        <v>0.2</v>
      </c>
      <c r="D23" s="22" t="s">
        <v>30</v>
      </c>
      <c r="E23" s="70"/>
    </row>
    <row r="24" spans="1:5" s="1" customFormat="1" ht="13.5" customHeight="1" thickBot="1" x14ac:dyDescent="0.25">
      <c r="A24" s="139" t="s">
        <v>54</v>
      </c>
      <c r="B24" s="77" t="s">
        <v>55</v>
      </c>
      <c r="C24" s="24" t="str">
        <f>"["&amp;_xlfn.TEXTJOIN(" ",TRUE,HardpointsRr!B12/1000 + 1.575,HardpointsRr!C12/1000,HardpointsRr!D12/1000)&amp;"]"</f>
        <v>[0.179024 0.283399 0.436103]</v>
      </c>
      <c r="D24" s="46" t="s">
        <v>12</v>
      </c>
      <c r="E24" s="63" t="s">
        <v>42</v>
      </c>
    </row>
    <row r="25" spans="1:5" s="1" customFormat="1" ht="13.5" customHeight="1" x14ac:dyDescent="0.2">
      <c r="A25" s="140"/>
      <c r="B25" s="78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4" t="s">
        <v>42</v>
      </c>
    </row>
    <row r="26" spans="1:5" s="1" customFormat="1" ht="13.5" customHeight="1" x14ac:dyDescent="0.2">
      <c r="A26" s="140"/>
      <c r="B26" s="82" t="s">
        <v>150</v>
      </c>
      <c r="C26" s="128">
        <v>0.8</v>
      </c>
      <c r="D26" s="83"/>
      <c r="E26" s="75"/>
    </row>
    <row r="27" spans="1:5" s="1" customFormat="1" ht="13.5" customHeight="1" thickBot="1" x14ac:dyDescent="0.25">
      <c r="A27" s="147"/>
      <c r="B27" s="81" t="s">
        <v>151</v>
      </c>
      <c r="C27" s="21">
        <v>1.2</v>
      </c>
      <c r="D27" s="22" t="s">
        <v>30</v>
      </c>
      <c r="E27" s="71"/>
    </row>
    <row r="28" spans="1:5" s="1" customFormat="1" ht="13.5" customHeight="1" x14ac:dyDescent="0.2">
      <c r="A28" s="139" t="s">
        <v>57</v>
      </c>
      <c r="B28" s="77" t="s">
        <v>58</v>
      </c>
      <c r="C28" s="28">
        <v>2.8000000000000001E-2</v>
      </c>
      <c r="D28" s="12" t="s">
        <v>12</v>
      </c>
      <c r="E28" s="72"/>
    </row>
    <row r="29" spans="1:5" s="1" customFormat="1" ht="13.5" customHeight="1" thickBot="1" x14ac:dyDescent="0.25">
      <c r="A29" s="147"/>
      <c r="B29" s="81" t="s">
        <v>59</v>
      </c>
      <c r="C29" s="21">
        <v>-2.8000000000000001E-2</v>
      </c>
      <c r="D29" s="22" t="s">
        <v>12</v>
      </c>
      <c r="E29" s="71"/>
    </row>
    <row r="30" spans="1:5" s="1" customFormat="1" ht="13.5" customHeight="1" thickBot="1" x14ac:dyDescent="0.25">
      <c r="A30" s="144" t="s">
        <v>60</v>
      </c>
      <c r="B30" s="91" t="s">
        <v>53</v>
      </c>
      <c r="C30" s="24" t="str">
        <f>"["&amp;_xlfn.TEXTJOIN(" ",TRUE,HardpointsRr!B14/1000 + 1.575,HardpointsRr!C14/1000,HardpointsRr!D14/1000)&amp;"]"</f>
        <v>[-0.022194 0.526395 0.155287]</v>
      </c>
      <c r="D30" s="12" t="s">
        <v>12</v>
      </c>
      <c r="E30" s="57" t="s">
        <v>42</v>
      </c>
    </row>
    <row r="31" spans="1:5" s="1" customFormat="1" ht="13.5" customHeight="1" x14ac:dyDescent="0.2">
      <c r="A31" s="145"/>
      <c r="B31" s="92" t="s">
        <v>44</v>
      </c>
      <c r="C31" s="24" t="str">
        <f>"["&amp;_xlfn.TEXTJOIN(" ",TRUE,HardpointsRr!B15/1000 + 1.575,HardpointsRr!C15/1000,HardpointsRr!D15/1000)&amp;"]"</f>
        <v>[-0.089612 0.349047 0.403924]</v>
      </c>
      <c r="D31" s="45" t="s">
        <v>12</v>
      </c>
      <c r="E31" s="62" t="s">
        <v>42</v>
      </c>
    </row>
    <row r="32" spans="1:5" s="1" customFormat="1" ht="13.5" customHeight="1" thickBot="1" x14ac:dyDescent="0.25">
      <c r="A32" s="146"/>
      <c r="B32" s="93" t="s">
        <v>12</v>
      </c>
      <c r="C32" s="21">
        <v>0.1</v>
      </c>
      <c r="D32" s="22" t="s">
        <v>30</v>
      </c>
      <c r="E32" s="73"/>
    </row>
    <row r="33" spans="1:5" s="1" customFormat="1" ht="13.5" customHeight="1" x14ac:dyDescent="0.2">
      <c r="A33" s="139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7" t="s">
        <v>42</v>
      </c>
    </row>
    <row r="34" spans="1:5" s="1" customFormat="1" ht="13.5" customHeight="1" x14ac:dyDescent="0.2">
      <c r="A34" s="140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5" t="s">
        <v>12</v>
      </c>
      <c r="E34" s="62" t="s">
        <v>42</v>
      </c>
    </row>
    <row r="35" spans="1:5" s="1" customFormat="1" ht="13.5" customHeight="1" thickBot="1" x14ac:dyDescent="0.25">
      <c r="A35" s="147"/>
      <c r="B35" s="20" t="s">
        <v>12</v>
      </c>
      <c r="C35" s="21">
        <v>0.4</v>
      </c>
      <c r="D35" s="22" t="s">
        <v>30</v>
      </c>
      <c r="E35" s="73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5" sqref="C5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5" t="s">
        <v>154</v>
      </c>
      <c r="D4" s="9"/>
      <c r="E4" s="74"/>
    </row>
    <row r="5" spans="1:5" ht="13.5" customHeight="1" x14ac:dyDescent="0.2">
      <c r="A5" s="125" t="s">
        <v>70</v>
      </c>
      <c r="B5" s="77"/>
      <c r="C5" s="24" t="str">
        <f>"["&amp;_xlfn.TEXTJOIN(" ",TRUE,HardpointsRr!B19/1000+ 1.575,HardpointsRr!C19/1000,HardpointsRr!D19/1000)&amp;"]"</f>
        <v>[-0.0254860000000001 0.287566 0.463988]</v>
      </c>
      <c r="D5" s="46" t="s">
        <v>81</v>
      </c>
      <c r="E5" s="69" t="s">
        <v>42</v>
      </c>
    </row>
    <row r="6" spans="1:5" ht="13.5" customHeight="1" x14ac:dyDescent="0.2">
      <c r="A6" s="126" t="s">
        <v>53</v>
      </c>
      <c r="B6" s="78"/>
      <c r="C6" s="25" t="str">
        <f>"["&amp;_xlfn.TEXTJOIN(" ",TRUE,HardpointsRr!B17/1000+ 1.575,HardpointsRr!C17/1000,HardpointsRr!D17/1000)&amp;"]"</f>
        <v>[-0.255 0.305 0.40135]</v>
      </c>
      <c r="D6" s="45" t="s">
        <v>12</v>
      </c>
      <c r="E6" s="58" t="s">
        <v>42</v>
      </c>
    </row>
    <row r="7" spans="1:5" ht="13.5" customHeight="1" x14ac:dyDescent="0.2">
      <c r="A7" s="126" t="s">
        <v>44</v>
      </c>
      <c r="B7" s="78"/>
      <c r="C7" s="25" t="str">
        <f>"["&amp;_xlfn.TEXTJOIN(" ",TRUE,HardpointsRr!B18/1000 + 1.575,HardpointsRr!C18/1000,HardpointsRr!D18/1000)&amp;"]"</f>
        <v>[-0.255 0.305 0.46535]</v>
      </c>
      <c r="D7" s="45" t="s">
        <v>12</v>
      </c>
      <c r="E7" s="62" t="s">
        <v>42</v>
      </c>
    </row>
    <row r="8" spans="1:5" ht="13.5" customHeight="1" x14ac:dyDescent="0.2">
      <c r="A8" s="126" t="s">
        <v>71</v>
      </c>
      <c r="B8" s="78"/>
      <c r="C8" s="31">
        <v>61.879399999999997</v>
      </c>
      <c r="D8" s="16" t="s">
        <v>72</v>
      </c>
      <c r="E8" s="75"/>
    </row>
    <row r="9" spans="1:5" ht="13.5" customHeight="1" thickBot="1" x14ac:dyDescent="0.25">
      <c r="A9" s="127" t="s">
        <v>12</v>
      </c>
      <c r="B9" s="81"/>
      <c r="C9" s="21">
        <v>0.7</v>
      </c>
      <c r="D9" s="47" t="s">
        <v>30</v>
      </c>
      <c r="E9" s="76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C7" sqref="C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82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83</v>
      </c>
      <c r="D4" s="9"/>
      <c r="E4" s="10"/>
    </row>
    <row r="5" spans="1:5" ht="13.5" customHeight="1" thickBot="1" x14ac:dyDescent="0.25">
      <c r="A5" s="123" t="s">
        <v>84</v>
      </c>
      <c r="B5" s="77"/>
      <c r="C5" s="24">
        <v>-2.5</v>
      </c>
      <c r="D5" s="12"/>
      <c r="E5" s="30"/>
    </row>
    <row r="6" spans="1:5" ht="13.5" customHeight="1" thickBot="1" x14ac:dyDescent="0.25">
      <c r="A6" s="123" t="s">
        <v>85</v>
      </c>
      <c r="B6" s="78"/>
      <c r="C6" s="25">
        <v>-1.5</v>
      </c>
      <c r="D6" s="16"/>
      <c r="E6" s="19"/>
    </row>
    <row r="7" spans="1:5" ht="13.5" customHeight="1" thickBot="1" x14ac:dyDescent="0.25">
      <c r="A7" s="123" t="s">
        <v>86</v>
      </c>
      <c r="B7" s="78"/>
      <c r="C7" s="25">
        <v>1.2250000000000001</v>
      </c>
      <c r="D7" s="16" t="s">
        <v>87</v>
      </c>
      <c r="E7" s="19"/>
    </row>
    <row r="8" spans="1:5" ht="13.5" customHeight="1" thickBot="1" x14ac:dyDescent="0.25">
      <c r="A8" s="123" t="s">
        <v>149</v>
      </c>
      <c r="B8" s="78"/>
      <c r="C8" s="25">
        <v>1.2</v>
      </c>
      <c r="D8" s="16" t="s">
        <v>88</v>
      </c>
      <c r="E8" s="19"/>
    </row>
    <row r="9" spans="1:5" ht="13.5" customHeight="1" thickBot="1" x14ac:dyDescent="0.25">
      <c r="A9" s="123" t="s">
        <v>89</v>
      </c>
      <c r="B9" s="81"/>
      <c r="C9" s="32" t="s">
        <v>90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tabSelected="1" zoomScale="99" workbookViewId="0">
      <selection activeCell="E20" sqref="E2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95</v>
      </c>
      <c r="C6" s="98">
        <v>78807.070000000007</v>
      </c>
      <c r="D6" s="99" t="s">
        <v>96</v>
      </c>
      <c r="E6" s="100"/>
    </row>
    <row r="7" spans="1:5" ht="13.5" customHeight="1" thickBot="1" x14ac:dyDescent="0.25">
      <c r="A7" s="147"/>
      <c r="B7" s="81" t="s">
        <v>148</v>
      </c>
      <c r="C7" s="21">
        <v>0.01</v>
      </c>
      <c r="D7" s="22" t="s">
        <v>12</v>
      </c>
      <c r="E7" s="33"/>
    </row>
    <row r="8" spans="1:5" ht="13.5" customHeight="1" x14ac:dyDescent="0.2">
      <c r="A8" s="139" t="s">
        <v>97</v>
      </c>
      <c r="B8" s="77" t="s">
        <v>8</v>
      </c>
      <c r="C8" s="102" t="s">
        <v>94</v>
      </c>
      <c r="D8" s="12"/>
      <c r="E8" s="30"/>
    </row>
    <row r="9" spans="1:5" ht="13.5" customHeight="1" x14ac:dyDescent="0.2">
      <c r="A9" s="140"/>
      <c r="B9" s="97" t="s">
        <v>95</v>
      </c>
      <c r="C9" s="101">
        <v>56916.22</v>
      </c>
      <c r="D9" s="99" t="s">
        <v>96</v>
      </c>
      <c r="E9" s="100"/>
    </row>
    <row r="10" spans="1:5" ht="13.5" customHeight="1" thickBot="1" x14ac:dyDescent="0.25">
      <c r="A10" s="147"/>
      <c r="B10" s="81" t="s">
        <v>148</v>
      </c>
      <c r="C10" s="21">
        <v>0.01</v>
      </c>
      <c r="D10" s="90" t="s">
        <v>12</v>
      </c>
      <c r="E10" s="33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workbookViewId="0">
      <selection activeCell="C9" sqref="C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98</v>
      </c>
      <c r="C6" s="98">
        <v>250000</v>
      </c>
      <c r="D6" s="99" t="s">
        <v>96</v>
      </c>
      <c r="E6" s="100"/>
    </row>
    <row r="7" spans="1:5" ht="13.5" customHeight="1" x14ac:dyDescent="0.2">
      <c r="A7" s="140"/>
      <c r="B7" s="78" t="s">
        <v>99</v>
      </c>
      <c r="C7" s="25">
        <v>100000</v>
      </c>
      <c r="D7" s="89" t="s">
        <v>96</v>
      </c>
      <c r="E7" s="19"/>
    </row>
    <row r="8" spans="1:5" ht="13.5" customHeight="1" x14ac:dyDescent="0.2">
      <c r="A8" s="140"/>
      <c r="B8" s="78" t="s">
        <v>100</v>
      </c>
      <c r="C8" s="25">
        <v>100000</v>
      </c>
      <c r="D8" s="89" t="s">
        <v>96</v>
      </c>
      <c r="E8" s="19"/>
    </row>
    <row r="9" spans="1:5" ht="13.5" customHeight="1" x14ac:dyDescent="0.2">
      <c r="A9" s="140"/>
      <c r="B9" s="78" t="s">
        <v>101</v>
      </c>
      <c r="C9" s="25">
        <v>150</v>
      </c>
      <c r="D9" s="89" t="s">
        <v>96</v>
      </c>
      <c r="E9" s="19"/>
    </row>
    <row r="10" spans="1:5" ht="13.5" customHeight="1" x14ac:dyDescent="0.2">
      <c r="A10" s="140"/>
      <c r="B10" s="78" t="s">
        <v>102</v>
      </c>
      <c r="C10" s="25">
        <v>150</v>
      </c>
      <c r="D10" s="89" t="s">
        <v>96</v>
      </c>
      <c r="E10" s="19"/>
    </row>
    <row r="11" spans="1:5" ht="13.5" customHeight="1" thickBot="1" x14ac:dyDescent="0.25">
      <c r="A11" s="147"/>
      <c r="B11" s="81" t="s">
        <v>103</v>
      </c>
      <c r="C11" s="27">
        <v>1E-4</v>
      </c>
      <c r="D11" s="90" t="s">
        <v>12</v>
      </c>
      <c r="E11" s="33"/>
    </row>
    <row r="12" spans="1:5" ht="13.5" customHeight="1" x14ac:dyDescent="0.2">
      <c r="A12" s="139" t="s">
        <v>97</v>
      </c>
      <c r="B12" s="77" t="s">
        <v>8</v>
      </c>
      <c r="C12" s="103" t="s">
        <v>94</v>
      </c>
      <c r="D12" s="12"/>
      <c r="E12" s="30"/>
    </row>
    <row r="13" spans="1:5" ht="13.5" customHeight="1" x14ac:dyDescent="0.2">
      <c r="A13" s="140"/>
      <c r="B13" s="97" t="s">
        <v>98</v>
      </c>
      <c r="C13" s="98">
        <v>250000</v>
      </c>
      <c r="D13" s="104" t="s">
        <v>96</v>
      </c>
      <c r="E13" s="100"/>
    </row>
    <row r="14" spans="1:5" ht="13.5" customHeight="1" x14ac:dyDescent="0.2">
      <c r="A14" s="140"/>
      <c r="B14" s="78" t="s">
        <v>99</v>
      </c>
      <c r="C14" s="25">
        <v>100000</v>
      </c>
      <c r="D14" s="104" t="s">
        <v>96</v>
      </c>
      <c r="E14" s="19"/>
    </row>
    <row r="15" spans="1:5" ht="13.5" customHeight="1" x14ac:dyDescent="0.2">
      <c r="A15" s="140"/>
      <c r="B15" s="78" t="s">
        <v>100</v>
      </c>
      <c r="C15" s="25">
        <v>100000</v>
      </c>
      <c r="D15" s="104" t="s">
        <v>96</v>
      </c>
      <c r="E15" s="19"/>
    </row>
    <row r="16" spans="1:5" ht="13.5" customHeight="1" x14ac:dyDescent="0.2">
      <c r="A16" s="140"/>
      <c r="B16" s="78" t="s">
        <v>101</v>
      </c>
      <c r="C16" s="25">
        <v>150</v>
      </c>
      <c r="D16" s="104" t="s">
        <v>96</v>
      </c>
      <c r="E16" s="19"/>
    </row>
    <row r="17" spans="1:5" ht="13.5" customHeight="1" x14ac:dyDescent="0.2">
      <c r="A17" s="140"/>
      <c r="B17" s="78" t="s">
        <v>102</v>
      </c>
      <c r="C17" s="25">
        <v>150</v>
      </c>
      <c r="D17" s="104" t="s">
        <v>96</v>
      </c>
      <c r="E17" s="19"/>
    </row>
    <row r="18" spans="1:5" ht="13.5" customHeight="1" thickBot="1" x14ac:dyDescent="0.25">
      <c r="A18" s="147"/>
      <c r="B18" s="81" t="s">
        <v>103</v>
      </c>
      <c r="C18" s="27">
        <v>1E-4</v>
      </c>
      <c r="D18" s="90" t="s">
        <v>12</v>
      </c>
      <c r="E18" s="33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4"/>
  <sheetViews>
    <sheetView zoomScale="150" workbookViewId="0">
      <selection activeCell="C18" sqref="C18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37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5" t="s">
        <v>104</v>
      </c>
      <c r="D2" s="9"/>
      <c r="E2" s="10"/>
    </row>
    <row r="3" spans="1:5" ht="16" thickBot="1" x14ac:dyDescent="0.25">
      <c r="A3" s="6" t="s">
        <v>6</v>
      </c>
      <c r="B3" s="7"/>
      <c r="C3" s="105" t="s">
        <v>159</v>
      </c>
      <c r="D3" s="9"/>
      <c r="E3" s="10"/>
    </row>
    <row r="4" spans="1:5" ht="16" thickBot="1" x14ac:dyDescent="0.25">
      <c r="A4" s="6" t="s">
        <v>8</v>
      </c>
      <c r="B4" s="7"/>
      <c r="C4" s="105" t="s">
        <v>158</v>
      </c>
      <c r="D4" s="9"/>
      <c r="E4" s="10"/>
    </row>
    <row r="5" spans="1:5" ht="17" thickBot="1" x14ac:dyDescent="0.25">
      <c r="A5" s="95" t="s">
        <v>105</v>
      </c>
      <c r="B5" s="77"/>
      <c r="C5" s="124" t="s">
        <v>160</v>
      </c>
      <c r="D5" s="106" t="s">
        <v>106</v>
      </c>
      <c r="E5" s="107" t="s">
        <v>107</v>
      </c>
    </row>
    <row r="6" spans="1:5" ht="17" thickBot="1" x14ac:dyDescent="0.25">
      <c r="A6" s="95" t="s">
        <v>108</v>
      </c>
      <c r="B6" s="77"/>
      <c r="C6" s="103">
        <v>10</v>
      </c>
      <c r="D6" s="106" t="s">
        <v>30</v>
      </c>
      <c r="E6" s="30"/>
    </row>
    <row r="7" spans="1:5" ht="17" thickBot="1" x14ac:dyDescent="0.25">
      <c r="A7" s="95" t="s">
        <v>109</v>
      </c>
      <c r="B7" s="77"/>
      <c r="C7" s="103" t="s">
        <v>110</v>
      </c>
      <c r="D7" s="106" t="s">
        <v>111</v>
      </c>
      <c r="E7" s="30"/>
    </row>
    <row r="8" spans="1:5" ht="17" thickBot="1" x14ac:dyDescent="0.25">
      <c r="A8" s="95" t="s">
        <v>112</v>
      </c>
      <c r="B8" s="77"/>
      <c r="C8" s="108" t="s">
        <v>113</v>
      </c>
      <c r="D8" s="106" t="s">
        <v>106</v>
      </c>
      <c r="E8" s="30"/>
    </row>
    <row r="9" spans="1:5" ht="17" thickBot="1" x14ac:dyDescent="0.25">
      <c r="A9" s="95" t="s">
        <v>114</v>
      </c>
      <c r="B9" s="77"/>
      <c r="C9" s="103">
        <v>25000</v>
      </c>
      <c r="D9" s="106"/>
      <c r="E9" s="30"/>
    </row>
    <row r="10" spans="1:5" ht="17" thickBot="1" x14ac:dyDescent="0.25">
      <c r="A10" s="95" t="s">
        <v>115</v>
      </c>
      <c r="B10" s="77"/>
      <c r="C10" s="103">
        <v>0.01</v>
      </c>
      <c r="D10" s="106" t="s">
        <v>116</v>
      </c>
      <c r="E10" s="107" t="s">
        <v>117</v>
      </c>
    </row>
    <row r="11" spans="1:5" ht="17" customHeight="1" x14ac:dyDescent="0.2">
      <c r="A11" s="139" t="s">
        <v>118</v>
      </c>
      <c r="B11" s="109" t="s">
        <v>8</v>
      </c>
      <c r="C11" s="110" t="s">
        <v>152</v>
      </c>
      <c r="D11" s="94"/>
      <c r="E11" s="74"/>
    </row>
    <row r="12" spans="1:5" ht="16" thickBot="1" x14ac:dyDescent="0.25">
      <c r="A12" s="147"/>
      <c r="B12" s="111" t="s">
        <v>119</v>
      </c>
      <c r="C12" s="112" t="s">
        <v>11</v>
      </c>
      <c r="D12" s="113" t="s">
        <v>12</v>
      </c>
      <c r="E12" s="114"/>
    </row>
    <row r="13" spans="1:5" ht="17" thickBot="1" x14ac:dyDescent="0.25">
      <c r="A13" s="95" t="s">
        <v>155</v>
      </c>
      <c r="B13" s="77"/>
      <c r="C13" s="103" t="s">
        <v>161</v>
      </c>
      <c r="D13" s="106"/>
      <c r="E13" s="30"/>
    </row>
    <row r="14" spans="1:5" ht="16" x14ac:dyDescent="0.2">
      <c r="A14" s="95" t="s">
        <v>156</v>
      </c>
      <c r="B14" s="77"/>
      <c r="C14" s="103" t="s">
        <v>157</v>
      </c>
      <c r="D14" s="106"/>
      <c r="E14" s="107"/>
    </row>
  </sheetData>
  <mergeCells count="1">
    <mergeCell ref="A11:A1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topLeftCell="A2" zoomScale="150" workbookViewId="0">
      <selection activeCell="E29" sqref="E29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120</v>
      </c>
      <c r="B1" s="34" t="s">
        <v>121</v>
      </c>
      <c r="C1" s="34" t="s">
        <v>122</v>
      </c>
      <c r="D1" s="34" t="s">
        <v>123</v>
      </c>
    </row>
    <row r="2" spans="1:4" ht="13.25" customHeight="1" x14ac:dyDescent="0.2">
      <c r="A2" s="35" t="s">
        <v>124</v>
      </c>
      <c r="B2" s="36">
        <v>200</v>
      </c>
      <c r="C2" s="37">
        <v>203.34700000000001</v>
      </c>
      <c r="D2" s="37">
        <v>126.35</v>
      </c>
    </row>
    <row r="3" spans="1:4" ht="13" customHeight="1" x14ac:dyDescent="0.2">
      <c r="A3" s="38" t="s">
        <v>125</v>
      </c>
      <c r="B3" s="39">
        <v>-200</v>
      </c>
      <c r="C3" s="40">
        <v>225</v>
      </c>
      <c r="D3" s="40">
        <v>126.35</v>
      </c>
    </row>
    <row r="4" spans="1:4" ht="13" customHeight="1" x14ac:dyDescent="0.2">
      <c r="A4" s="38" t="s">
        <v>126</v>
      </c>
      <c r="B4" s="39">
        <v>11.946</v>
      </c>
      <c r="C4" s="40">
        <v>587.82100000000003</v>
      </c>
      <c r="D4" s="40">
        <v>156</v>
      </c>
    </row>
    <row r="5" spans="1:4" ht="13" customHeight="1" x14ac:dyDescent="0.2">
      <c r="A5" s="38" t="s">
        <v>127</v>
      </c>
      <c r="B5" s="39">
        <v>148.751</v>
      </c>
      <c r="C5" s="40">
        <v>207.047</v>
      </c>
      <c r="D5" s="40">
        <v>321.79399999999998</v>
      </c>
    </row>
    <row r="6" spans="1:4" ht="13" customHeight="1" x14ac:dyDescent="0.2">
      <c r="A6" s="38" t="s">
        <v>128</v>
      </c>
      <c r="B6" s="39">
        <v>-184.72900000000001</v>
      </c>
      <c r="C6" s="40">
        <v>225</v>
      </c>
      <c r="D6" s="40">
        <v>300.89400000000001</v>
      </c>
    </row>
    <row r="7" spans="1:4" ht="13" customHeight="1" x14ac:dyDescent="0.2">
      <c r="A7" s="38" t="s">
        <v>129</v>
      </c>
      <c r="B7" s="39">
        <v>-12.932</v>
      </c>
      <c r="C7" s="40">
        <v>518.67999999999995</v>
      </c>
      <c r="D7" s="40">
        <v>374.39299999999997</v>
      </c>
    </row>
    <row r="8" spans="1:4" ht="13" customHeight="1" x14ac:dyDescent="0.2">
      <c r="A8" s="38" t="s">
        <v>130</v>
      </c>
      <c r="B8" s="39">
        <v>16.193999999999999</v>
      </c>
      <c r="C8" s="40">
        <v>582.05899999999997</v>
      </c>
      <c r="D8" s="40">
        <v>263.346</v>
      </c>
    </row>
    <row r="9" spans="1:4" ht="13" customHeight="1" x14ac:dyDescent="0.2">
      <c r="A9" s="38" t="s">
        <v>131</v>
      </c>
      <c r="B9" s="39">
        <v>0</v>
      </c>
      <c r="C9" s="40">
        <v>640</v>
      </c>
      <c r="D9" s="40">
        <v>260.36099999999999</v>
      </c>
    </row>
    <row r="10" spans="1:4" ht="13" customHeight="1" x14ac:dyDescent="0.2">
      <c r="A10" s="38" t="s">
        <v>132</v>
      </c>
      <c r="B10" s="39">
        <v>104.241</v>
      </c>
      <c r="C10" s="40">
        <v>250</v>
      </c>
      <c r="D10" s="40">
        <v>171.053</v>
      </c>
    </row>
    <row r="11" spans="1:4" ht="13" customHeight="1" x14ac:dyDescent="0.2">
      <c r="A11" s="38" t="s">
        <v>133</v>
      </c>
      <c r="B11" s="39">
        <v>85.097999999999999</v>
      </c>
      <c r="C11" s="40">
        <v>575.40700000000004</v>
      </c>
      <c r="D11" s="40">
        <v>188.44399999999999</v>
      </c>
    </row>
    <row r="12" spans="1:4" ht="13" customHeight="1" x14ac:dyDescent="0.2">
      <c r="A12" s="38" t="s">
        <v>134</v>
      </c>
      <c r="B12" s="39">
        <v>11.157</v>
      </c>
      <c r="C12" s="40">
        <v>233.131</v>
      </c>
      <c r="D12" s="40">
        <v>517.55100000000004</v>
      </c>
    </row>
    <row r="13" spans="1:4" ht="13" customHeight="1" x14ac:dyDescent="0.2">
      <c r="A13" s="38" t="s">
        <v>135</v>
      </c>
      <c r="B13" s="39">
        <v>11.484999999999999</v>
      </c>
      <c r="C13" s="40">
        <v>317.84199999999998</v>
      </c>
      <c r="D13" s="40">
        <v>362.43</v>
      </c>
    </row>
    <row r="14" spans="1:4" ht="13.5" customHeight="1" x14ac:dyDescent="0.2">
      <c r="A14" s="38" t="s">
        <v>136</v>
      </c>
      <c r="B14" s="39">
        <v>11.821</v>
      </c>
      <c r="C14" s="40">
        <v>550</v>
      </c>
      <c r="D14" s="40">
        <v>178.70500000000001</v>
      </c>
    </row>
    <row r="15" spans="1:4" ht="13" customHeight="1" x14ac:dyDescent="0.2">
      <c r="A15" s="38" t="s">
        <v>137</v>
      </c>
      <c r="B15" s="39">
        <v>11.489000000000001</v>
      </c>
      <c r="C15" s="40">
        <v>351.53699999999998</v>
      </c>
      <c r="D15" s="40">
        <v>360.94299999999998</v>
      </c>
    </row>
    <row r="16" spans="1:4" ht="13" customHeight="1" x14ac:dyDescent="0.2">
      <c r="A16" s="38" t="s">
        <v>138</v>
      </c>
      <c r="B16" s="39">
        <v>11.558</v>
      </c>
      <c r="C16" s="40">
        <v>244.43100000000001</v>
      </c>
      <c r="D16" s="40">
        <v>328.19799999999998</v>
      </c>
    </row>
    <row r="17" spans="1:4" ht="13" customHeight="1" x14ac:dyDescent="0.2">
      <c r="A17" s="38" t="s">
        <v>139</v>
      </c>
      <c r="B17" s="39">
        <v>67.965000000000003</v>
      </c>
      <c r="C17" s="40">
        <v>262.85500000000002</v>
      </c>
      <c r="D17" s="40">
        <v>101.35</v>
      </c>
    </row>
    <row r="18" spans="1:4" ht="13" customHeight="1" x14ac:dyDescent="0.2">
      <c r="A18" s="38" t="s">
        <v>140</v>
      </c>
      <c r="B18" s="39">
        <v>4</v>
      </c>
      <c r="C18" s="40">
        <v>262.84899999999999</v>
      </c>
      <c r="D18" s="40">
        <v>101.51900000000001</v>
      </c>
    </row>
    <row r="19" spans="1:4" ht="13" customHeight="1" x14ac:dyDescent="0.2">
      <c r="A19" s="38" t="s">
        <v>141</v>
      </c>
      <c r="B19" s="39">
        <v>11.526999999999999</v>
      </c>
      <c r="C19" s="40">
        <v>292.24599999999998</v>
      </c>
      <c r="D19" s="40">
        <v>342.81599999999997</v>
      </c>
    </row>
    <row r="20" spans="1:4" ht="13" customHeight="1" x14ac:dyDescent="0.2">
      <c r="A20" s="38" t="s">
        <v>142</v>
      </c>
      <c r="B20" s="39">
        <v>104.241</v>
      </c>
      <c r="C20" s="40">
        <v>0</v>
      </c>
      <c r="D20" s="40">
        <v>171.053</v>
      </c>
    </row>
    <row r="21" spans="1:4" ht="13" customHeight="1" x14ac:dyDescent="0.2">
      <c r="A21" s="38" t="s">
        <v>143</v>
      </c>
      <c r="B21" s="39">
        <v>-324.96499999999997</v>
      </c>
      <c r="C21" s="40">
        <v>0</v>
      </c>
      <c r="D21" s="40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21" sqref="D21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120</v>
      </c>
      <c r="B1" s="34" t="s">
        <v>121</v>
      </c>
      <c r="C1" s="34" t="s">
        <v>122</v>
      </c>
      <c r="D1" s="34" t="s">
        <v>123</v>
      </c>
    </row>
    <row r="2" spans="1:4" ht="13.25" customHeight="1" x14ac:dyDescent="0.2">
      <c r="A2" s="35" t="s">
        <v>124</v>
      </c>
      <c r="B2" s="36">
        <v>-1390</v>
      </c>
      <c r="C2" s="37">
        <v>305</v>
      </c>
      <c r="D2" s="37">
        <v>126.35</v>
      </c>
    </row>
    <row r="3" spans="1:4" ht="13" customHeight="1" x14ac:dyDescent="0.2">
      <c r="A3" s="38" t="s">
        <v>125</v>
      </c>
      <c r="B3" s="39">
        <v>-1830</v>
      </c>
      <c r="C3" s="40">
        <v>270</v>
      </c>
      <c r="D3" s="40">
        <v>126.35</v>
      </c>
    </row>
    <row r="4" spans="1:4" ht="13" customHeight="1" x14ac:dyDescent="0.2">
      <c r="A4" s="38" t="s">
        <v>126</v>
      </c>
      <c r="B4" s="39">
        <v>-1579.2370000000001</v>
      </c>
      <c r="C4" s="40">
        <v>573.947</v>
      </c>
      <c r="D4" s="40">
        <v>137.5</v>
      </c>
    </row>
    <row r="5" spans="1:4" ht="13" customHeight="1" x14ac:dyDescent="0.2">
      <c r="A5" s="38" t="s">
        <v>127</v>
      </c>
      <c r="B5" s="39">
        <v>-1390</v>
      </c>
      <c r="C5" s="40">
        <v>305</v>
      </c>
      <c r="D5" s="40">
        <v>328.98099999999999</v>
      </c>
    </row>
    <row r="6" spans="1:4" ht="13" customHeight="1" x14ac:dyDescent="0.2">
      <c r="A6" s="38" t="s">
        <v>128</v>
      </c>
      <c r="B6" s="39">
        <v>-1830</v>
      </c>
      <c r="C6" s="40">
        <v>270</v>
      </c>
      <c r="D6" s="40">
        <v>354.47500000000002</v>
      </c>
    </row>
    <row r="7" spans="1:4" ht="13" customHeight="1" x14ac:dyDescent="0.2">
      <c r="A7" s="38" t="s">
        <v>129</v>
      </c>
      <c r="B7" s="39">
        <v>-1569.845</v>
      </c>
      <c r="C7" s="40">
        <v>506.33</v>
      </c>
      <c r="D7" s="40">
        <v>382.471</v>
      </c>
    </row>
    <row r="8" spans="1:4" ht="13" customHeight="1" x14ac:dyDescent="0.2">
      <c r="A8" s="38" t="s">
        <v>130</v>
      </c>
      <c r="B8" s="39">
        <v>-1568.8710000000001</v>
      </c>
      <c r="C8" s="40">
        <v>566.64200000000005</v>
      </c>
      <c r="D8" s="40">
        <v>269.14400000000001</v>
      </c>
    </row>
    <row r="9" spans="1:4" ht="13" customHeight="1" x14ac:dyDescent="0.2">
      <c r="A9" s="38" t="s">
        <v>131</v>
      </c>
      <c r="B9" s="39">
        <v>-1574.5989999999999</v>
      </c>
      <c r="C9" s="40">
        <v>623.53200000000004</v>
      </c>
      <c r="D9" s="40">
        <v>260.36099999999999</v>
      </c>
    </row>
    <row r="10" spans="1:4" ht="13" customHeight="1" x14ac:dyDescent="0.2">
      <c r="A10" s="38" t="s">
        <v>132</v>
      </c>
      <c r="B10" s="39">
        <v>-1830</v>
      </c>
      <c r="C10" s="40">
        <v>270</v>
      </c>
      <c r="D10" s="40">
        <v>193.642</v>
      </c>
    </row>
    <row r="11" spans="1:4" ht="13" customHeight="1" x14ac:dyDescent="0.2">
      <c r="A11" s="38" t="s">
        <v>133</v>
      </c>
      <c r="B11" s="39">
        <v>-1675.904</v>
      </c>
      <c r="C11" s="40">
        <v>576.73500000000001</v>
      </c>
      <c r="D11" s="40">
        <v>225.33099999999999</v>
      </c>
    </row>
    <row r="12" spans="1:4" ht="13" customHeight="1" x14ac:dyDescent="0.2">
      <c r="A12" s="38" t="s">
        <v>134</v>
      </c>
      <c r="B12" s="39">
        <v>-1395.9760000000001</v>
      </c>
      <c r="C12" s="40">
        <v>283.399</v>
      </c>
      <c r="D12" s="40">
        <v>436.10300000000001</v>
      </c>
    </row>
    <row r="13" spans="1:4" ht="13" customHeight="1" x14ac:dyDescent="0.2">
      <c r="A13" s="38" t="s">
        <v>135</v>
      </c>
      <c r="B13" s="39">
        <v>-1579.1110000000001</v>
      </c>
      <c r="C13" s="40">
        <v>267.07299999999998</v>
      </c>
      <c r="D13" s="40">
        <v>484.01</v>
      </c>
    </row>
    <row r="14" spans="1:4" ht="13" customHeight="1" x14ac:dyDescent="0.2">
      <c r="A14" s="38" t="s">
        <v>136</v>
      </c>
      <c r="B14" s="39">
        <v>-1597.194</v>
      </c>
      <c r="C14" s="40">
        <v>526.39499999999998</v>
      </c>
      <c r="D14" s="40">
        <v>155.28700000000001</v>
      </c>
    </row>
    <row r="15" spans="1:4" ht="13" customHeight="1" x14ac:dyDescent="0.2">
      <c r="A15" s="38" t="s">
        <v>137</v>
      </c>
      <c r="B15" s="39">
        <v>-1664.6120000000001</v>
      </c>
      <c r="C15" s="40">
        <v>349.04700000000003</v>
      </c>
      <c r="D15" s="40">
        <v>403.92399999999998</v>
      </c>
    </row>
    <row r="16" spans="1:4" ht="13" customHeight="1" x14ac:dyDescent="0.2">
      <c r="A16" s="38" t="s">
        <v>138</v>
      </c>
      <c r="B16" s="39">
        <v>-1585.771</v>
      </c>
      <c r="C16" s="40">
        <v>318.42700000000002</v>
      </c>
      <c r="D16" s="40">
        <v>426.35</v>
      </c>
    </row>
    <row r="17" spans="1:4" ht="13" customHeight="1" x14ac:dyDescent="0.2">
      <c r="A17" s="38" t="s">
        <v>139</v>
      </c>
      <c r="B17" s="39">
        <v>-1830</v>
      </c>
      <c r="C17" s="40">
        <v>305</v>
      </c>
      <c r="D17" s="40">
        <v>401.35</v>
      </c>
    </row>
    <row r="18" spans="1:4" ht="13" customHeight="1" x14ac:dyDescent="0.2">
      <c r="A18" s="38" t="s">
        <v>140</v>
      </c>
      <c r="B18" s="39">
        <v>-1830</v>
      </c>
      <c r="C18" s="40">
        <v>305</v>
      </c>
      <c r="D18" s="40">
        <v>465.35</v>
      </c>
    </row>
    <row r="19" spans="1:4" ht="13" customHeight="1" x14ac:dyDescent="0.2">
      <c r="A19" s="38" t="s">
        <v>141</v>
      </c>
      <c r="B19" s="39">
        <v>-1600.4860000000001</v>
      </c>
      <c r="C19" s="40">
        <v>287.56599999999997</v>
      </c>
      <c r="D19" s="40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Props1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2026-02-13T13:07:05Z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