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andrei/Desktop/FSAE/Vehicle Model/Features/Scripts_Data/Data_Vehicle/"/>
    </mc:Choice>
  </mc:AlternateContent>
  <xr:revisionPtr revIDLastSave="0" documentId="13_ncr:1_{104E1579-6991-E54F-A90A-728F92F2076F}" xr6:coauthVersionLast="47" xr6:coauthVersionMax="47" xr10:uidLastSave="{00000000-0000-0000-0000-000000000000}"/>
  <bookViews>
    <workbookView xWindow="8080" yWindow="1360" windowWidth="25360" windowHeight="18980" activeTab="3" xr2:uid="{00000000-000D-0000-FFFF-FFFF00000000}"/>
  </bookViews>
  <sheets>
    <sheet name="Info" sheetId="1" r:id="rId1"/>
    <sheet name="Motor" sheetId="2" r:id="rId2"/>
    <sheet name="BatteryOC" sheetId="3" r:id="rId3"/>
    <sheet name="HardpointsFr" sheetId="4" r:id="rId4"/>
    <sheet name="HardpointsRr" sheetId="5" r:id="rId5"/>
    <sheet name="Suspension" sheetId="6" r:id="rId6"/>
  </sheets>
  <calcPr calcId="191029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 a="1"/>
  <c r="C2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<sst xmlns="http://schemas.openxmlformats.org/spreadsheetml/2006/main" count="191" uniqueCount="129">
  <si>
    <t>Category</t>
  </si>
  <si>
    <t>Description</t>
  </si>
  <si>
    <t>Value</t>
  </si>
  <si>
    <t>Unit</t>
  </si>
  <si>
    <t>Comment</t>
  </si>
  <si>
    <t>General</t>
  </si>
  <si>
    <t>Name</t>
  </si>
  <si>
    <t>ARTTU</t>
  </si>
  <si>
    <t>-</t>
  </si>
  <si>
    <t>Type</t>
  </si>
  <si>
    <t>Open Wheel</t>
  </si>
  <si>
    <t>Inertia</t>
  </si>
  <si>
    <t>Total Mass</t>
  </si>
  <si>
    <t>kg</t>
  </si>
  <si>
    <t>Front Mass Distribution</t>
  </si>
  <si>
    <t>%</t>
  </si>
  <si>
    <t>Dimensions</t>
  </si>
  <si>
    <t>Wheelbase</t>
  </si>
  <si>
    <t>mm</t>
  </si>
  <si>
    <t>Steering</t>
  </si>
  <si>
    <t>Steering Rack Ratio</t>
  </si>
  <si>
    <t>[Steering Wheel Angle]/[Wheel Angle]</t>
  </si>
  <si>
    <t>Aerodynamics</t>
  </si>
  <si>
    <t>Lift Coefficient CL</t>
  </si>
  <si>
    <t>Positive = Lift / Negative = Downforce</t>
  </si>
  <si>
    <t>Drag Coefficient CD</t>
  </si>
  <si>
    <t>Should be negative</t>
  </si>
  <si>
    <t>CL Scale Multiplier</t>
  </si>
  <si>
    <t>CD Scale Multiplier</t>
  </si>
  <si>
    <t>Front Aero Distribution</t>
  </si>
  <si>
    <t>Frontal Area</t>
  </si>
  <si>
    <t>m2</t>
  </si>
  <si>
    <t>Air Density</t>
  </si>
  <si>
    <t>kg/m3</t>
  </si>
  <si>
    <t>Recommended value:  1,225</t>
  </si>
  <si>
    <t>Brakes</t>
  </si>
  <si>
    <t>Disc Outer Diameter</t>
  </si>
  <si>
    <t>Assumed to be the same on all corners,</t>
  </si>
  <si>
    <t>Pad Height</t>
  </si>
  <si>
    <t>Pad Friction Coefficient</t>
  </si>
  <si>
    <t>Assumed to be the same on all pads, Recommended value: 0,45</t>
  </si>
  <si>
    <t>Caliper Number of Pistons</t>
  </si>
  <si>
    <t>Caliper Piston Diameter</t>
  </si>
  <si>
    <t>Master Cylinder Piston Diameter</t>
  </si>
  <si>
    <t>Assumed to be the same both front and rear,</t>
  </si>
  <si>
    <t>Pedal Ratio</t>
  </si>
  <si>
    <t>[Foot Force Application Point Lever Arm]/[Master Cylinder Lever Arm]</t>
  </si>
  <si>
    <t>Tyres</t>
  </si>
  <si>
    <t>Grip Factor Multiplier</t>
  </si>
  <si>
    <t>Tyre Radius</t>
  </si>
  <si>
    <t>Assumed to be the same on all tyres,</t>
  </si>
  <si>
    <t>Rolling Resistance</t>
  </si>
  <si>
    <t>Assumed to be the same on all tyres, Needs to be negative, Recommended value: -0,001</t>
  </si>
  <si>
    <t>Longitudinal Friction Coefficient</t>
  </si>
  <si>
    <t>Assumed to be the same on all tyres, Slick tyres: 1,8, Street tyres: 0,9-1,2</t>
  </si>
  <si>
    <t>Longitudinal Friction Load Rating</t>
  </si>
  <si>
    <t>Assumed to be the same on all tyres, Recommended value: M/4</t>
  </si>
  <si>
    <t>Longitudinal Friction Sensitivity</t>
  </si>
  <si>
    <t>1/N</t>
  </si>
  <si>
    <t>Assumed to be the same on all tyres, Should be positive, Recommended value:  0,0001</t>
  </si>
  <si>
    <t>Lateral Friction Coefficient</t>
  </si>
  <si>
    <t>Assumed to be the same on all tyres, ~0,8*Longitudinal</t>
  </si>
  <si>
    <t>Lateral Friction Load Rating</t>
  </si>
  <si>
    <t>Lateral Friction Sensitivity</t>
  </si>
  <si>
    <t>Front Cornering Stiffness</t>
  </si>
  <si>
    <t>N/deg</t>
  </si>
  <si>
    <t>Recommended value:  800-1000</t>
  </si>
  <si>
    <t>Rear Cornering Stiffness</t>
  </si>
  <si>
    <t>Transmission</t>
  </si>
  <si>
    <t>Drive Type</t>
  </si>
  <si>
    <t>RWD</t>
  </si>
  <si>
    <t>Gear Shift Time</t>
  </si>
  <si>
    <t>s</t>
  </si>
  <si>
    <t>Only used in dragster mode</t>
  </si>
  <si>
    <t>Primary Gear Efficiency</t>
  </si>
  <si>
    <t>Recommended value:  0,98 for spur/helical gears</t>
  </si>
  <si>
    <t>Final Gear Efficiency</t>
  </si>
  <si>
    <t>Recommended value:  0,90 for bevel gears</t>
  </si>
  <si>
    <t>Gearbox Efficiency</t>
  </si>
  <si>
    <t>Primary Gear Reduction</t>
  </si>
  <si>
    <t>From crancskaft to Input shaft,</t>
  </si>
  <si>
    <t>Final Gear Reduction</t>
  </si>
  <si>
    <t>1st Gear Ratio</t>
  </si>
  <si>
    <t xml:space="preserve"> Battery</t>
  </si>
  <si>
    <t>Thermic Ressistance</t>
  </si>
  <si>
    <t>K/W</t>
  </si>
  <si>
    <t>Thermic Capacity</t>
  </si>
  <si>
    <t>J/K</t>
  </si>
  <si>
    <t>Nominal Capacity</t>
  </si>
  <si>
    <t>Ah</t>
  </si>
  <si>
    <t>serial connections</t>
  </si>
  <si>
    <t>paralel connections</t>
  </si>
  <si>
    <t>Engine Speed [rpm]</t>
  </si>
  <si>
    <t>Torque [Nm]</t>
  </si>
  <si>
    <t>SoC</t>
  </si>
  <si>
    <t>V</t>
  </si>
  <si>
    <t>R</t>
  </si>
  <si>
    <t>X</t>
  </si>
  <si>
    <t>Y</t>
  </si>
  <si>
    <t>Z</t>
  </si>
  <si>
    <t>lcaF</t>
  </si>
  <si>
    <t>lcaR</t>
  </si>
  <si>
    <t>lcaO</t>
  </si>
  <si>
    <t>ucaF</t>
  </si>
  <si>
    <t>ucaR</t>
  </si>
  <si>
    <t>ucaO</t>
  </si>
  <si>
    <t>uprightCG</t>
  </si>
  <si>
    <t>wheelCenter</t>
  </si>
  <si>
    <t>trackrodI</t>
  </si>
  <si>
    <t>trackrodO</t>
  </si>
  <si>
    <t>shockT</t>
  </si>
  <si>
    <t>shockB</t>
  </si>
  <si>
    <t>arbI</t>
  </si>
  <si>
    <t>arbO</t>
  </si>
  <si>
    <t>arbSus</t>
  </si>
  <si>
    <t>steerRack</t>
  </si>
  <si>
    <t>steerWheel</t>
  </si>
  <si>
    <t>steerPinion</t>
  </si>
  <si>
    <t>upperCol</t>
  </si>
  <si>
    <t>BCpivot</t>
  </si>
  <si>
    <t>PushrodOut</t>
  </si>
  <si>
    <t>Names</t>
  </si>
  <si>
    <t>Front</t>
  </si>
  <si>
    <t>Rear</t>
  </si>
  <si>
    <t>Rate</t>
  </si>
  <si>
    <t>Preload</t>
  </si>
  <si>
    <t>Damping</t>
  </si>
  <si>
    <t>Stiffness</t>
  </si>
  <si>
    <t>BCrod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</si>
</sst>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0000000"/>
    <numFmt numFmtId="165" formatCode="0.000000000000"/>
    <numFmt numFmtId="166" formatCode="0.00000000000000"/>
    <numFmt numFmtId="167" formatCode="0.000"/>
    <numFmt numFmtId="168" formatCode="0.0000"/>
  </numFmts>
  <fonts count="4" x14ac:knownFonts="1">
    <font>
      <sz val="11"/>
      <color indexed="8"/>
      <name val="Calibri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9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0"/>
        <bgColor auto="1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14"/>
      </left>
      <right style="thin">
        <color indexed="11"/>
      </right>
      <top style="thin">
        <color indexed="14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1"/>
      </right>
      <top/>
      <bottom/>
      <diagonal/>
    </border>
    <border>
      <left style="thin">
        <color indexed="11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4"/>
      </right>
      <top style="thin">
        <color indexed="11"/>
      </top>
      <bottom style="thin">
        <color indexed="11"/>
      </bottom>
      <diagonal/>
    </border>
    <border>
      <left style="thin">
        <color indexed="14"/>
      </left>
      <right style="thin">
        <color indexed="11"/>
      </right>
      <top/>
      <bottom style="thin">
        <color indexed="14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 style="thin">
        <color indexed="14"/>
      </top>
      <bottom style="thin">
        <color indexed="18"/>
      </bottom>
      <diagonal/>
    </border>
    <border>
      <left/>
      <right/>
      <top style="thin">
        <color indexed="14"/>
      </top>
      <bottom/>
      <diagonal/>
    </border>
    <border>
      <left/>
      <right style="thin">
        <color indexed="14"/>
      </right>
      <top style="thin">
        <color indexed="14"/>
      </top>
      <bottom/>
      <diagonal/>
    </border>
    <border>
      <left style="thin">
        <color indexed="14"/>
      </left>
      <right style="thin">
        <color indexed="19"/>
      </right>
      <top style="thin">
        <color indexed="14"/>
      </top>
      <bottom style="thin">
        <color indexed="14"/>
      </bottom>
      <diagonal/>
    </border>
    <border>
      <left style="thin">
        <color indexed="19"/>
      </left>
      <right style="thin">
        <color indexed="19"/>
      </right>
      <top style="thin">
        <color indexed="18"/>
      </top>
      <bottom style="thin">
        <color indexed="19"/>
      </bottom>
      <diagonal/>
    </border>
    <border>
      <left style="thin">
        <color indexed="19"/>
      </left>
      <right/>
      <top/>
      <bottom style="thin">
        <color indexed="14"/>
      </bottom>
      <diagonal/>
    </border>
    <border>
      <left/>
      <right style="thin">
        <color indexed="14"/>
      </right>
      <top/>
      <bottom style="thin">
        <color indexed="14"/>
      </bottom>
      <diagonal/>
    </border>
    <border>
      <left style="thin">
        <color indexed="14"/>
      </left>
      <right/>
      <top style="thin">
        <color indexed="19"/>
      </top>
      <bottom/>
      <diagonal/>
    </border>
    <border>
      <left/>
      <right/>
      <top style="thin">
        <color indexed="14"/>
      </top>
      <bottom style="thin">
        <color indexed="14"/>
      </bottom>
      <diagonal/>
    </border>
    <border>
      <left/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14"/>
      </left>
      <right/>
      <top/>
      <bottom/>
      <diagonal/>
    </border>
    <border>
      <left/>
      <right/>
      <top/>
      <bottom/>
      <diagonal/>
    </border>
    <border>
      <left/>
      <right style="thin">
        <color indexed="14"/>
      </right>
      <top/>
      <bottom/>
      <diagonal/>
    </border>
    <border>
      <left style="thin">
        <color indexed="14"/>
      </left>
      <right/>
      <top/>
      <bottom style="thin">
        <color indexed="19"/>
      </bottom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/>
      <top/>
      <bottom/>
      <diagonal/>
    </border>
    <border>
      <left style="thin">
        <color indexed="19"/>
      </left>
      <right style="thin">
        <color indexed="19"/>
      </right>
      <top style="thin">
        <color indexed="19"/>
      </top>
      <bottom style="thin">
        <color indexed="18"/>
      </bottom>
      <diagonal/>
    </border>
    <border>
      <left style="thin">
        <color indexed="19"/>
      </left>
      <right style="thin">
        <color indexed="14"/>
      </right>
      <top style="thin">
        <color indexed="14"/>
      </top>
      <bottom/>
      <diagonal/>
    </border>
    <border>
      <left style="thin">
        <color indexed="19"/>
      </left>
      <right style="thin">
        <color indexed="18"/>
      </right>
      <top style="thin">
        <color indexed="18"/>
      </top>
      <bottom style="thin">
        <color indexed="19"/>
      </bottom>
      <diagonal/>
    </border>
    <border>
      <left style="thin">
        <color indexed="18"/>
      </left>
      <right style="thin">
        <color indexed="19"/>
      </right>
      <top style="thin">
        <color indexed="18"/>
      </top>
      <bottom style="thin">
        <color indexed="19"/>
      </bottom>
      <diagonal/>
    </border>
    <border>
      <left style="thin">
        <color indexed="19"/>
      </left>
      <right style="thin">
        <color indexed="14"/>
      </right>
      <top/>
      <bottom/>
      <diagonal/>
    </border>
    <border>
      <left style="thin">
        <color indexed="19"/>
      </left>
      <right style="thin">
        <color indexed="18"/>
      </right>
      <top style="thin">
        <color indexed="19"/>
      </top>
      <bottom style="thin">
        <color indexed="19"/>
      </bottom>
      <diagonal/>
    </border>
    <border>
      <left style="thin">
        <color indexed="18"/>
      </left>
      <right style="thin">
        <color indexed="19"/>
      </right>
      <top style="thin">
        <color indexed="19"/>
      </top>
      <bottom style="thin">
        <color indexed="19"/>
      </bottom>
      <diagonal/>
    </border>
    <border>
      <left style="thin">
        <color indexed="19"/>
      </left>
      <right style="thin">
        <color indexed="14"/>
      </right>
      <top/>
      <bottom style="thin">
        <color indexed="14"/>
      </bottom>
      <diagonal/>
    </border>
    <border>
      <left style="thin">
        <color indexed="19"/>
      </left>
      <right/>
      <top style="thin">
        <color indexed="14"/>
      </top>
      <bottom/>
      <diagonal/>
    </border>
    <border>
      <left/>
      <right/>
      <top style="thin">
        <color indexed="19"/>
      </top>
      <bottom/>
      <diagonal/>
    </border>
    <border>
      <left style="thin">
        <color indexed="14"/>
      </left>
      <right/>
      <top/>
      <bottom style="thin">
        <color indexed="14"/>
      </bottom>
      <diagonal/>
    </border>
    <border>
      <left/>
      <right/>
      <top/>
      <bottom style="thin">
        <color indexed="14"/>
      </bottom>
      <diagonal/>
    </border>
    <border>
      <left style="thin">
        <color rgb="FFFF00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00FF00"/>
      </top>
      <bottom style="thin">
        <color rgb="FFFF0000"/>
      </bottom>
      <diagonal/>
    </border>
    <border>
      <left style="thin">
        <color rgb="FF00FF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 applyNumberFormat="0" applyFill="0" applyBorder="0" applyProtection="0"/>
  </cellStyleXfs>
  <cellXfs count="104">
    <xf numFmtId="0" fontId="0" fillId="0" borderId="0" xfId="0"/>
    <xf numFmtId="0" fontId="0" fillId="0" borderId="0" xfId="0" applyNumberFormat="1"/>
    <xf numFmtId="49" fontId="1" fillId="2" borderId="1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/>
    <xf numFmtId="49" fontId="0" fillId="4" borderId="5" xfId="0" applyNumberFormat="1" applyFill="1" applyBorder="1" applyAlignment="1">
      <alignment horizontal="left" vertical="center"/>
    </xf>
    <xf numFmtId="49" fontId="0" fillId="5" borderId="5" xfId="0" applyNumberFormat="1" applyFill="1" applyBorder="1"/>
    <xf numFmtId="49" fontId="0" fillId="4" borderId="5" xfId="0" applyNumberFormat="1" applyFill="1" applyBorder="1"/>
    <xf numFmtId="0" fontId="0" fillId="4" borderId="6" xfId="0" applyFill="1" applyBorder="1"/>
    <xf numFmtId="49" fontId="0" fillId="4" borderId="8" xfId="0" applyNumberFormat="1" applyFill="1" applyBorder="1" applyAlignment="1">
      <alignment horizontal="left" vertical="center"/>
    </xf>
    <xf numFmtId="49" fontId="0" fillId="5" borderId="8" xfId="0" applyNumberFormat="1" applyFill="1" applyBorder="1"/>
    <xf numFmtId="49" fontId="0" fillId="4" borderId="8" xfId="0" applyNumberFormat="1" applyFill="1" applyBorder="1"/>
    <xf numFmtId="0" fontId="0" fillId="4" borderId="9" xfId="0" applyFill="1" applyBorder="1"/>
    <xf numFmtId="0" fontId="0" fillId="5" borderId="5" xfId="0" applyNumberFormat="1" applyFill="1" applyBorder="1"/>
    <xf numFmtId="0" fontId="0" fillId="5" borderId="8" xfId="0" applyNumberFormat="1" applyFill="1" applyBorder="1"/>
    <xf numFmtId="49" fontId="2" fillId="3" borderId="1" xfId="0" applyNumberFormat="1" applyFont="1" applyFill="1" applyBorder="1" applyAlignment="1">
      <alignment horizontal="left" vertical="center"/>
    </xf>
    <xf numFmtId="49" fontId="0" fillId="4" borderId="2" xfId="0" applyNumberFormat="1" applyFill="1" applyBorder="1" applyAlignment="1">
      <alignment horizontal="left" vertical="center"/>
    </xf>
    <xf numFmtId="0" fontId="0" fillId="5" borderId="2" xfId="0" applyNumberFormat="1" applyFill="1" applyBorder="1"/>
    <xf numFmtId="49" fontId="0" fillId="4" borderId="2" xfId="0" applyNumberFormat="1" applyFill="1" applyBorder="1"/>
    <xf numFmtId="0" fontId="0" fillId="4" borderId="3" xfId="0" applyFill="1" applyBorder="1"/>
    <xf numFmtId="49" fontId="0" fillId="4" borderId="3" xfId="0" applyNumberFormat="1" applyFill="1" applyBorder="1"/>
    <xf numFmtId="49" fontId="0" fillId="4" borderId="6" xfId="0" applyNumberFormat="1" applyFill="1" applyBorder="1"/>
    <xf numFmtId="49" fontId="0" fillId="4" borderId="11" xfId="0" applyNumberFormat="1" applyFill="1" applyBorder="1" applyAlignment="1">
      <alignment horizontal="left" vertical="center"/>
    </xf>
    <xf numFmtId="0" fontId="0" fillId="5" borderId="11" xfId="0" applyNumberFormat="1" applyFill="1" applyBorder="1"/>
    <xf numFmtId="49" fontId="0" fillId="4" borderId="11" xfId="0" applyNumberFormat="1" applyFill="1" applyBorder="1"/>
    <xf numFmtId="49" fontId="0" fillId="4" borderId="12" xfId="0" applyNumberFormat="1" applyFill="1" applyBorder="1"/>
    <xf numFmtId="0" fontId="0" fillId="4" borderId="12" xfId="0" applyFill="1" applyBorder="1"/>
    <xf numFmtId="49" fontId="0" fillId="4" borderId="9" xfId="0" applyNumberFormat="1" applyFill="1" applyBorder="1"/>
    <xf numFmtId="49" fontId="0" fillId="4" borderId="8" xfId="0" applyNumberFormat="1" applyFill="1" applyBorder="1" applyAlignment="1">
      <alignment vertical="center"/>
    </xf>
    <xf numFmtId="49" fontId="2" fillId="3" borderId="13" xfId="0" applyNumberFormat="1" applyFont="1" applyFill="1" applyBorder="1" applyAlignment="1">
      <alignment vertical="center"/>
    </xf>
    <xf numFmtId="49" fontId="0" fillId="4" borderId="5" xfId="0" applyNumberForma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49" fontId="0" fillId="4" borderId="11" xfId="0" applyNumberFormat="1" applyFill="1" applyBorder="1" applyAlignment="1">
      <alignment vertical="center"/>
    </xf>
    <xf numFmtId="0" fontId="0" fillId="4" borderId="11" xfId="0" applyFill="1" applyBorder="1" applyAlignment="1">
      <alignment vertical="center"/>
    </xf>
    <xf numFmtId="0" fontId="0" fillId="5" borderId="11" xfId="0" applyFill="1" applyBorder="1"/>
    <xf numFmtId="0" fontId="0" fillId="4" borderId="11" xfId="0" applyFill="1" applyBorder="1"/>
    <xf numFmtId="0" fontId="2" fillId="3" borderId="15" xfId="0" applyFont="1" applyFill="1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5" borderId="8" xfId="0" applyFill="1" applyBorder="1"/>
    <xf numFmtId="0" fontId="0" fillId="4" borderId="8" xfId="0" applyFill="1" applyBorder="1"/>
    <xf numFmtId="0" fontId="0" fillId="6" borderId="16" xfId="0" applyFill="1" applyBorder="1"/>
    <xf numFmtId="49" fontId="1" fillId="2" borderId="17" xfId="0" applyNumberFormat="1" applyFont="1" applyFill="1" applyBorder="1"/>
    <xf numFmtId="49" fontId="1" fillId="2" borderId="18" xfId="0" applyNumberFormat="1" applyFont="1" applyFill="1" applyBorder="1"/>
    <xf numFmtId="0" fontId="0" fillId="6" borderId="19" xfId="0" applyFill="1" applyBorder="1"/>
    <xf numFmtId="1" fontId="0" fillId="5" borderId="17" xfId="0" applyNumberFormat="1" applyFill="1" applyBorder="1"/>
    <xf numFmtId="164" fontId="0" fillId="5" borderId="18" xfId="0" applyNumberFormat="1" applyFill="1" applyBorder="1"/>
    <xf numFmtId="1" fontId="0" fillId="6" borderId="20" xfId="0" applyNumberFormat="1" applyFill="1" applyBorder="1"/>
    <xf numFmtId="164" fontId="0" fillId="6" borderId="21" xfId="0" applyNumberFormat="1" applyFill="1" applyBorder="1"/>
    <xf numFmtId="165" fontId="0" fillId="6" borderId="21" xfId="0" applyNumberFormat="1" applyFill="1" applyBorder="1"/>
    <xf numFmtId="166" fontId="0" fillId="5" borderId="18" xfId="0" applyNumberFormat="1" applyFill="1" applyBorder="1"/>
    <xf numFmtId="166" fontId="0" fillId="6" borderId="21" xfId="0" applyNumberFormat="1" applyFill="1" applyBorder="1"/>
    <xf numFmtId="0" fontId="0" fillId="6" borderId="22" xfId="0" applyFill="1" applyBorder="1"/>
    <xf numFmtId="49" fontId="2" fillId="7" borderId="23" xfId="0" applyNumberFormat="1" applyFont="1" applyFill="1" applyBorder="1"/>
    <xf numFmtId="49" fontId="2" fillId="7" borderId="24" xfId="0" applyNumberFormat="1" applyFont="1" applyFill="1" applyBorder="1"/>
    <xf numFmtId="0" fontId="2" fillId="7" borderId="25" xfId="0" applyFont="1" applyFill="1" applyBorder="1"/>
    <xf numFmtId="0" fontId="2" fillId="7" borderId="26" xfId="0" applyFont="1" applyFill="1" applyBorder="1"/>
    <xf numFmtId="0" fontId="0" fillId="6" borderId="23" xfId="0" applyNumberFormat="1" applyFill="1" applyBorder="1"/>
    <xf numFmtId="0" fontId="0" fillId="6" borderId="27" xfId="0" applyNumberFormat="1" applyFill="1" applyBorder="1"/>
    <xf numFmtId="0" fontId="0" fillId="6" borderId="28" xfId="0" applyNumberFormat="1" applyFill="1" applyBorder="1" applyAlignment="1">
      <alignment horizontal="center" vertical="center"/>
    </xf>
    <xf numFmtId="0" fontId="0" fillId="6" borderId="29" xfId="0" applyFill="1" applyBorder="1"/>
    <xf numFmtId="0" fontId="0" fillId="6" borderId="30" xfId="0" applyFill="1" applyBorder="1"/>
    <xf numFmtId="0" fontId="0" fillId="6" borderId="31" xfId="0" applyFill="1" applyBorder="1"/>
    <xf numFmtId="0" fontId="0" fillId="6" borderId="32" xfId="0" applyFill="1" applyBorder="1"/>
    <xf numFmtId="0" fontId="0" fillId="6" borderId="33" xfId="0" applyFill="1" applyBorder="1"/>
    <xf numFmtId="0" fontId="0" fillId="6" borderId="34" xfId="0" applyFill="1" applyBorder="1"/>
    <xf numFmtId="0" fontId="0" fillId="6" borderId="25" xfId="0" applyFill="1" applyBorder="1"/>
    <xf numFmtId="0" fontId="0" fillId="6" borderId="26" xfId="0" applyFill="1" applyBorder="1"/>
    <xf numFmtId="0" fontId="0" fillId="6" borderId="35" xfId="0" applyFill="1" applyBorder="1"/>
    <xf numFmtId="0" fontId="0" fillId="6" borderId="36" xfId="0" applyFill="1" applyBorder="1"/>
    <xf numFmtId="0" fontId="0" fillId="6" borderId="37" xfId="0" applyFill="1" applyBorder="1"/>
    <xf numFmtId="0" fontId="0" fillId="6" borderId="38" xfId="0" applyNumberFormat="1" applyFill="1" applyBorder="1" applyAlignment="1">
      <alignment horizontal="center" vertical="center"/>
    </xf>
    <xf numFmtId="0" fontId="0" fillId="6" borderId="39" xfId="0" applyFill="1" applyBorder="1"/>
    <xf numFmtId="49" fontId="2" fillId="7" borderId="40" xfId="0" applyNumberFormat="1" applyFont="1" applyFill="1" applyBorder="1" applyAlignment="1">
      <alignment horizontal="center" vertical="center"/>
    </xf>
    <xf numFmtId="0" fontId="0" fillId="6" borderId="41" xfId="0" applyFill="1" applyBorder="1"/>
    <xf numFmtId="49" fontId="2" fillId="8" borderId="42" xfId="0" applyNumberFormat="1" applyFont="1" applyFill="1" applyBorder="1" applyAlignment="1">
      <alignment horizontal="center" vertical="center"/>
    </xf>
    <xf numFmtId="0" fontId="0" fillId="6" borderId="44" xfId="0" applyFill="1" applyBorder="1"/>
    <xf numFmtId="49" fontId="2" fillId="8" borderId="45" xfId="0" applyNumberFormat="1" applyFont="1" applyFill="1" applyBorder="1" applyAlignment="1">
      <alignment horizontal="center" vertical="center"/>
    </xf>
    <xf numFmtId="167" fontId="0" fillId="6" borderId="46" xfId="0" applyNumberFormat="1" applyFill="1" applyBorder="1" applyAlignment="1">
      <alignment horizontal="center" vertical="center"/>
    </xf>
    <xf numFmtId="167" fontId="0" fillId="6" borderId="38" xfId="0" applyNumberFormat="1" applyFill="1" applyBorder="1" applyAlignment="1">
      <alignment horizontal="center" vertical="center"/>
    </xf>
    <xf numFmtId="0" fontId="0" fillId="6" borderId="47" xfId="0" applyFill="1" applyBorder="1"/>
    <xf numFmtId="49" fontId="2" fillId="7" borderId="40" xfId="0" applyNumberFormat="1" applyFont="1" applyFill="1" applyBorder="1" applyAlignment="1">
      <alignment horizontal="center"/>
    </xf>
    <xf numFmtId="0" fontId="0" fillId="6" borderId="48" xfId="0" applyFill="1" applyBorder="1"/>
    <xf numFmtId="49" fontId="2" fillId="8" borderId="42" xfId="0" applyNumberFormat="1" applyFont="1" applyFill="1" applyBorder="1" applyAlignment="1">
      <alignment horizontal="center"/>
    </xf>
    <xf numFmtId="2" fontId="0" fillId="6" borderId="43" xfId="0" applyNumberFormat="1" applyFill="1" applyBorder="1" applyAlignment="1">
      <alignment horizontal="center"/>
    </xf>
    <xf numFmtId="2" fontId="0" fillId="6" borderId="28" xfId="0" applyNumberFormat="1" applyFill="1" applyBorder="1" applyAlignment="1">
      <alignment horizontal="center"/>
    </xf>
    <xf numFmtId="49" fontId="2" fillId="8" borderId="45" xfId="0" applyNumberFormat="1" applyFont="1" applyFill="1" applyBorder="1" applyAlignment="1">
      <alignment horizontal="center"/>
    </xf>
    <xf numFmtId="2" fontId="0" fillId="6" borderId="46" xfId="0" applyNumberFormat="1" applyFill="1" applyBorder="1" applyAlignment="1">
      <alignment horizontal="center"/>
    </xf>
    <xf numFmtId="2" fontId="0" fillId="6" borderId="38" xfId="0" applyNumberFormat="1" applyFill="1" applyBorder="1" applyAlignment="1">
      <alignment horizontal="center"/>
    </xf>
    <xf numFmtId="3" fontId="0" fillId="6" borderId="46" xfId="0" applyNumberFormat="1" applyFill="1" applyBorder="1" applyAlignment="1">
      <alignment horizontal="center"/>
    </xf>
    <xf numFmtId="168" fontId="0" fillId="6" borderId="38" xfId="0" applyNumberFormat="1" applyFill="1" applyBorder="1" applyAlignment="1">
      <alignment horizontal="center"/>
    </xf>
    <xf numFmtId="0" fontId="0" fillId="6" borderId="49" xfId="0" applyFill="1" applyBorder="1"/>
    <xf numFmtId="0" fontId="0" fillId="6" borderId="50" xfId="0" applyFill="1" applyBorder="1"/>
    <xf numFmtId="0" fontId="0" fillId="6" borderId="51" xfId="0" applyFill="1" applyBorder="1"/>
    <xf numFmtId="167" fontId="3" fillId="9" borderId="54" xfId="0" applyNumberFormat="1" applyFont="1" applyFill="1" applyBorder="1" applyAlignment="1">
      <alignment horizontal="center" vertical="center"/>
    </xf>
    <xf numFmtId="167" fontId="3" fillId="9" borderId="52" xfId="0" applyNumberFormat="1" applyFont="1" applyFill="1" applyBorder="1" applyAlignment="1">
      <alignment horizontal="center" vertical="center"/>
    </xf>
    <xf numFmtId="167" fontId="3" fillId="9" borderId="55" xfId="0" applyNumberFormat="1" applyFont="1" applyFill="1" applyBorder="1" applyAlignment="1">
      <alignment horizontal="center" vertical="center"/>
    </xf>
    <xf numFmtId="167" fontId="3" fillId="9" borderId="53" xfId="0" applyNumberFormat="1" applyFont="1" applyFill="1" applyBorder="1" applyAlignment="1">
      <alignment horizontal="center" vertical="center"/>
    </xf>
    <xf numFmtId="49" fontId="2" fillId="3" borderId="13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49" fontId="2" fillId="3" borderId="4" xfId="0" applyNumberFormat="1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5B9BD5"/>
      <rgbColor rgb="FF9CC2E5"/>
      <rgbColor rgb="FFBDD6EE"/>
      <rgbColor rgb="FFDEEAF6"/>
      <rgbColor rgb="FFAAAAAA"/>
      <rgbColor rgb="FF878787"/>
      <rgbColor rgb="FF42719B"/>
      <rgbColor rgb="FFBDC0BF"/>
      <rgbColor rgb="FF3F3F3F"/>
      <rgbColor rgb="FFA5A5A5"/>
      <rgbColor rgb="FFDBDBDB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14461399999999999"/>
          <c:y val="5.5157699999999997E-2"/>
          <c:w val="0.85038599999999998"/>
          <c:h val="0.76626099999999997"/>
        </c:manualLayout>
      </c:layout>
      <c:lineChart>
        <c:grouping val="standard"/>
        <c:varyColors val="0"/>
        <c:ser>
          <c:idx val="0"/>
          <c:order val="0"/>
          <c:tx>
            <c:v>Series1</c:v>
          </c:tx>
          <c:spPr>
            <a:ln w="47625" cap="flat">
              <a:solidFill>
                <a:srgbClr val="42719B"/>
              </a:solidFill>
              <a:prstDash val="solid"/>
              <a:round/>
            </a:ln>
            <a:effectLst/>
          </c:spPr>
          <c:marker>
            <c:symbol val="diamond"/>
            <c:size val="10"/>
            <c:spPr>
              <a:solidFill>
                <a:srgbClr val="42719B"/>
              </a:solidFill>
              <a:ln w="9525" cap="flat">
                <a:solidFill>
                  <a:srgbClr val="42719B"/>
                </a:solidFill>
                <a:prstDash val="solid"/>
                <a:round/>
              </a:ln>
              <a:effectLst/>
            </c:spPr>
          </c:marker>
          <c:cat>
            <c:strLit>
              <c:ptCount val="49"/>
              <c:pt idx="0">
                <c:v>0</c:v>
              </c:pt>
              <c:pt idx="1">
                <c:v>100</c:v>
              </c:pt>
              <c:pt idx="2">
                <c:v>200</c:v>
              </c:pt>
              <c:pt idx="3">
                <c:v>300</c:v>
              </c:pt>
              <c:pt idx="4">
                <c:v>400</c:v>
              </c:pt>
              <c:pt idx="5">
                <c:v>500</c:v>
              </c:pt>
              <c:pt idx="6">
                <c:v>600</c:v>
              </c:pt>
              <c:pt idx="7">
                <c:v>700</c:v>
              </c:pt>
              <c:pt idx="8">
                <c:v>800</c:v>
              </c:pt>
              <c:pt idx="9">
                <c:v>900</c:v>
              </c:pt>
              <c:pt idx="10">
                <c:v>1000</c:v>
              </c:pt>
              <c:pt idx="11">
                <c:v>1100</c:v>
              </c:pt>
              <c:pt idx="12">
                <c:v>1200</c:v>
              </c:pt>
              <c:pt idx="13">
                <c:v>1300</c:v>
              </c:pt>
              <c:pt idx="14">
                <c:v>1400</c:v>
              </c:pt>
              <c:pt idx="15">
                <c:v>1500</c:v>
              </c:pt>
              <c:pt idx="16">
                <c:v>1600</c:v>
              </c:pt>
              <c:pt idx="17">
                <c:v>1700</c:v>
              </c:pt>
              <c:pt idx="18">
                <c:v>1800</c:v>
              </c:pt>
              <c:pt idx="19">
                <c:v>1900</c:v>
              </c:pt>
              <c:pt idx="20">
                <c:v>2000</c:v>
              </c:pt>
              <c:pt idx="21">
                <c:v>2100</c:v>
              </c:pt>
              <c:pt idx="22">
                <c:v>2200</c:v>
              </c:pt>
              <c:pt idx="23">
                <c:v>2300</c:v>
              </c:pt>
              <c:pt idx="24">
                <c:v>2400</c:v>
              </c:pt>
              <c:pt idx="25">
                <c:v>2500</c:v>
              </c:pt>
              <c:pt idx="26">
                <c:v>2600</c:v>
              </c:pt>
              <c:pt idx="27">
                <c:v>2700</c:v>
              </c:pt>
              <c:pt idx="28">
                <c:v>2800</c:v>
              </c:pt>
              <c:pt idx="29">
                <c:v>2900</c:v>
              </c:pt>
              <c:pt idx="30">
                <c:v>3000</c:v>
              </c:pt>
              <c:pt idx="31">
                <c:v>3100</c:v>
              </c:pt>
              <c:pt idx="32">
                <c:v>3200</c:v>
              </c:pt>
              <c:pt idx="33">
                <c:v>3300</c:v>
              </c:pt>
              <c:pt idx="34">
                <c:v>3400</c:v>
              </c:pt>
              <c:pt idx="35">
                <c:v>3500</c:v>
              </c:pt>
              <c:pt idx="36">
                <c:v>3600</c:v>
              </c:pt>
              <c:pt idx="37">
                <c:v>3700</c:v>
              </c:pt>
              <c:pt idx="38">
                <c:v>3800</c:v>
              </c:pt>
              <c:pt idx="39">
                <c:v>3900</c:v>
              </c:pt>
              <c:pt idx="40">
                <c:v>4000</c:v>
              </c:pt>
              <c:pt idx="41">
                <c:v>4100</c:v>
              </c:pt>
              <c:pt idx="42">
                <c:v>4200</c:v>
              </c:pt>
              <c:pt idx="43">
                <c:v>4300</c:v>
              </c:pt>
              <c:pt idx="44">
                <c:v>4400</c:v>
              </c:pt>
              <c:pt idx="45">
                <c:v>4500</c:v>
              </c:pt>
              <c:pt idx="46">
                <c:v>4600</c:v>
              </c:pt>
              <c:pt idx="47">
                <c:v>Engine Speed [rpm]</c:v>
              </c:pt>
            </c:strLit>
          </c:cat>
          <c:val>
            <c:numRef>
              <c:f>(Motor!$C$1:$C$48,Motor!$B$1)</c:f>
              <c:numCache>
                <c:formatCode>0.0000000000000</c:formatCode>
                <c:ptCount val="49"/>
                <c:pt idx="0" formatCode="@">
                  <c:v>0</c:v>
                </c:pt>
                <c:pt idx="1">
                  <c:v>51.0306904761905</c:v>
                </c:pt>
                <c:pt idx="2">
                  <c:v>51.0306904761905</c:v>
                </c:pt>
                <c:pt idx="3">
                  <c:v>51.0306904761905</c:v>
                </c:pt>
                <c:pt idx="4">
                  <c:v>51.0306904761905</c:v>
                </c:pt>
                <c:pt idx="5">
                  <c:v>51.0306904761905</c:v>
                </c:pt>
                <c:pt idx="6">
                  <c:v>51.0306904761905</c:v>
                </c:pt>
                <c:pt idx="7">
                  <c:v>51.0306904761905</c:v>
                </c:pt>
                <c:pt idx="8">
                  <c:v>51.0306904761905</c:v>
                </c:pt>
                <c:pt idx="9">
                  <c:v>51.0306904761905</c:v>
                </c:pt>
                <c:pt idx="10">
                  <c:v>51.0306904761905</c:v>
                </c:pt>
                <c:pt idx="11">
                  <c:v>51.0306904761905</c:v>
                </c:pt>
                <c:pt idx="12">
                  <c:v>51.0306904761905</c:v>
                </c:pt>
                <c:pt idx="13">
                  <c:v>51.0306904761905</c:v>
                </c:pt>
                <c:pt idx="14">
                  <c:v>51.0306904761905</c:v>
                </c:pt>
                <c:pt idx="15">
                  <c:v>51.0306904761905</c:v>
                </c:pt>
                <c:pt idx="16">
                  <c:v>51.0306904761905</c:v>
                </c:pt>
                <c:pt idx="17">
                  <c:v>51.0306904761905</c:v>
                </c:pt>
                <c:pt idx="18">
                  <c:v>51.0306904761905</c:v>
                </c:pt>
                <c:pt idx="19">
                  <c:v>51.0306904761905</c:v>
                </c:pt>
                <c:pt idx="20">
                  <c:v>51.0306904761905</c:v>
                </c:pt>
                <c:pt idx="21">
                  <c:v>51.0306904761905</c:v>
                </c:pt>
                <c:pt idx="22">
                  <c:v>51.0306904761905</c:v>
                </c:pt>
                <c:pt idx="23">
                  <c:v>51.0306904761905</c:v>
                </c:pt>
                <c:pt idx="24">
                  <c:v>51.0306904761905</c:v>
                </c:pt>
                <c:pt idx="25">
                  <c:v>51.0306904761905</c:v>
                </c:pt>
                <c:pt idx="26">
                  <c:v>51.0306904761905</c:v>
                </c:pt>
                <c:pt idx="27">
                  <c:v>51.0306904761905</c:v>
                </c:pt>
                <c:pt idx="28">
                  <c:v>51.0306904761905</c:v>
                </c:pt>
                <c:pt idx="29">
                  <c:v>51.0306904761905</c:v>
                </c:pt>
                <c:pt idx="30">
                  <c:v>51.0306904761905</c:v>
                </c:pt>
                <c:pt idx="31">
                  <c:v>51.0306904761905</c:v>
                </c:pt>
                <c:pt idx="32">
                  <c:v>51.0306904761905</c:v>
                </c:pt>
                <c:pt idx="33">
                  <c:v>51.0306904761905</c:v>
                </c:pt>
                <c:pt idx="34">
                  <c:v>51.0306904761905</c:v>
                </c:pt>
                <c:pt idx="35">
                  <c:v>51.0306904761905</c:v>
                </c:pt>
                <c:pt idx="36">
                  <c:v>51.0306904761905</c:v>
                </c:pt>
                <c:pt idx="37">
                  <c:v>51.0306904761905</c:v>
                </c:pt>
                <c:pt idx="38" formatCode="0.000000000000">
                  <c:v>44.843689833269003</c:v>
                </c:pt>
                <c:pt idx="39">
                  <c:v>36.821568821896101</c:v>
                </c:pt>
                <c:pt idx="40" formatCode="0.000000000000">
                  <c:v>30.062728824122001</c:v>
                </c:pt>
                <c:pt idx="41">
                  <c:v>25.337074314098199</c:v>
                </c:pt>
                <c:pt idx="42">
                  <c:v>21.037412309536101</c:v>
                </c:pt>
                <c:pt idx="43">
                  <c:v>17.084032426778201</c:v>
                </c:pt>
                <c:pt idx="44">
                  <c:v>13.4184887499186</c:v>
                </c:pt>
                <c:pt idx="45" formatCode="0.00000000000000">
                  <c:v>9.9959268483305195</c:v>
                </c:pt>
                <c:pt idx="46" formatCode="0.00000000000000">
                  <c:v>6.7769653459149204</c:v>
                </c:pt>
                <c:pt idx="47" formatCode="0.00000000000000">
                  <c:v>3.7395748460445501</c:v>
                </c:pt>
                <c:pt idx="48" formatCode="@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9C-9B47-BEDE-39A522C26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4734552"/>
        <c:axId val="2094734553"/>
      </c:lineChart>
      <c:catAx>
        <c:axId val="2094734552"/>
        <c:scaling>
          <c:orientation val="minMax"/>
        </c:scaling>
        <c:delete val="0"/>
        <c:axPos val="b"/>
        <c:majorGridlines>
          <c:spPr>
            <a:ln w="6350" cap="flat">
              <a:solidFill>
                <a:srgbClr val="000000"/>
              </a:solidFill>
              <a:prstDash val="solid"/>
              <a:miter lim="400000"/>
            </a:ln>
          </c:spPr>
        </c:majorGridlines>
        <c:title>
          <c:tx>
            <c:rich>
              <a:bodyPr rot="0"/>
              <a:lstStyle/>
              <a:p>
                <a:pPr>
                  <a:defRPr sz="1800" b="0" i="0" u="none" strike="noStrike">
                    <a:solidFill>
                      <a:srgbClr val="000000"/>
                    </a:solidFill>
                    <a:latin typeface="Helvetica Neue"/>
                  </a:defRPr>
                </a:pPr>
                <a:r>
                  <a:rPr sz="1800" b="0" i="0" u="none" strike="noStrike">
                    <a:solidFill>
                      <a:srgbClr val="000000"/>
                    </a:solidFill>
                    <a:latin typeface="Helvetica Neue"/>
                  </a:rPr>
                  <a:t>Engine Speed [rpm]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low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1800" b="0" i="0" u="none" strike="noStrike">
                <a:solidFill>
                  <a:srgbClr val="000000"/>
                </a:solidFill>
                <a:latin typeface="Helvetica Neue"/>
              </a:defRPr>
            </a:pPr>
            <a:endParaRPr lang="en-US"/>
          </a:p>
        </c:txPr>
        <c:crossAx val="2094734553"/>
        <c:crosses val="autoZero"/>
        <c:auto val="1"/>
        <c:lblAlgn val="ctr"/>
        <c:lblOffset val="100"/>
        <c:tickLblSkip val="5"/>
        <c:noMultiLvlLbl val="1"/>
      </c:catAx>
      <c:valAx>
        <c:axId val="2094734553"/>
        <c:scaling>
          <c:orientation val="minMax"/>
        </c:scaling>
        <c:delete val="0"/>
        <c:axPos val="l"/>
        <c:majorGridlines>
          <c:spPr>
            <a:ln w="12700" cap="flat">
              <a:solidFill>
                <a:srgbClr val="888888"/>
              </a:solidFill>
              <a:prstDash val="solid"/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800" b="0" i="0" u="none" strike="noStrike">
                    <a:solidFill>
                      <a:srgbClr val="000000"/>
                    </a:solidFill>
                    <a:latin typeface="Helvetica Neue"/>
                  </a:defRPr>
                </a:pPr>
                <a:r>
                  <a:rPr sz="1800" b="0" i="0" u="none" strike="noStrike">
                    <a:solidFill>
                      <a:srgbClr val="000000"/>
                    </a:solidFill>
                    <a:latin typeface="Helvetica Neue"/>
                  </a:rPr>
                  <a:t>Torque [Nm]</a:t>
                </a:r>
              </a:p>
            </c:rich>
          </c:tx>
          <c:overlay val="1"/>
        </c:title>
        <c:numFmt formatCode="@" sourceLinked="1"/>
        <c:majorTickMark val="out"/>
        <c:minorTickMark val="none"/>
        <c:tickLblPos val="nextTo"/>
        <c:spPr>
          <a:ln w="12700" cap="flat">
            <a:solidFill>
              <a:srgbClr val="888888"/>
            </a:solidFill>
            <a:prstDash val="solid"/>
            <a:round/>
          </a:ln>
        </c:spPr>
        <c:txPr>
          <a:bodyPr rot="0"/>
          <a:lstStyle/>
          <a:p>
            <a:pPr>
              <a:defRPr sz="1800" b="0" i="0" u="none" strike="noStrike">
                <a:solidFill>
                  <a:srgbClr val="000000"/>
                </a:solidFill>
                <a:latin typeface="Helvetica Neue"/>
              </a:defRPr>
            </a:pPr>
            <a:endParaRPr lang="en-US"/>
          </a:p>
        </c:txPr>
        <c:crossAx val="2094734552"/>
        <c:crosses val="autoZero"/>
        <c:crossBetween val="midCat"/>
        <c:majorUnit val="15"/>
        <c:minorUnit val="7.5"/>
      </c:valAx>
      <c:spPr>
        <a:solidFill>
          <a:srgbClr val="FFFFFF"/>
        </a:solidFill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888888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6349</xdr:colOff>
      <xdr:row>6</xdr:row>
      <xdr:rowOff>0</xdr:rowOff>
    </xdr:from>
    <xdr:to>
      <xdr:col>12</xdr:col>
      <xdr:colOff>249084</xdr:colOff>
      <xdr:row>34</xdr:row>
      <xdr:rowOff>148828</xdr:rowOff>
    </xdr:to>
    <xdr:graphicFrame macro="">
      <xdr:nvGraphicFramePr>
        <xdr:cNvPr id="2" name="2D Line 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showGridLines="0" workbookViewId="0"/>
  </sheetViews>
  <sheetFormatPr baseColWidth="10" defaultColWidth="8.83203125" defaultRowHeight="14.5" customHeight="1" x14ac:dyDescent="0.2"/>
  <cols>
    <col min="1" max="1" width="13.6640625" style="1" customWidth="1"/>
    <col min="2" max="2" width="30.5" style="1" customWidth="1"/>
    <col min="3" max="3" width="12.1640625" style="1" customWidth="1"/>
    <col min="4" max="4" width="6.5" style="1" customWidth="1"/>
    <col min="5" max="5" width="81.1640625" style="1" customWidth="1"/>
    <col min="6" max="6" width="8.83203125" style="1" customWidth="1"/>
    <col min="7" max="16384" width="8.83203125" style="1"/>
  </cols>
  <sheetData>
    <row r="1" spans="1:5" ht="15" customHeight="1" x14ac:dyDescent="0.2">
      <c r="A1" s="2" t="s">
        <v>0</v>
      </c>
      <c r="B1" s="3" t="s">
        <v>1</v>
      </c>
      <c r="C1" s="4" t="s">
        <v>2</v>
      </c>
      <c r="D1" s="4" t="s">
        <v>3</v>
      </c>
      <c r="E1" s="5" t="s">
        <v>4</v>
      </c>
    </row>
    <row r="2" spans="1:5" ht="14" customHeight="1" x14ac:dyDescent="0.2">
      <c r="A2" s="101" t="s">
        <v>5</v>
      </c>
      <c r="B2" s="6" t="s">
        <v>6</v>
      </c>
      <c r="C2" s="7" t="s">
        <v>7</v>
      </c>
      <c r="D2" s="8" t="s">
        <v>8</v>
      </c>
      <c r="E2" s="9"/>
    </row>
    <row r="3" spans="1:5" ht="15" customHeight="1" x14ac:dyDescent="0.2">
      <c r="A3" s="102"/>
      <c r="B3" s="10" t="s">
        <v>9</v>
      </c>
      <c r="C3" s="11" t="s">
        <v>10</v>
      </c>
      <c r="D3" s="12" t="s">
        <v>8</v>
      </c>
      <c r="E3" s="13"/>
    </row>
    <row r="4" spans="1:5" ht="14" customHeight="1" x14ac:dyDescent="0.2">
      <c r="A4" s="101" t="s">
        <v>11</v>
      </c>
      <c r="B4" s="6" t="s">
        <v>12</v>
      </c>
      <c r="C4" s="14">
        <v>350</v>
      </c>
      <c r="D4" s="8" t="s">
        <v>13</v>
      </c>
      <c r="E4" s="9"/>
    </row>
    <row r="5" spans="1:5" ht="15" customHeight="1" x14ac:dyDescent="0.2">
      <c r="A5" s="102"/>
      <c r="B5" s="10" t="s">
        <v>14</v>
      </c>
      <c r="C5" s="15">
        <v>55</v>
      </c>
      <c r="D5" s="12" t="s">
        <v>15</v>
      </c>
      <c r="E5" s="13"/>
    </row>
    <row r="6" spans="1:5" ht="15" customHeight="1" x14ac:dyDescent="0.2">
      <c r="A6" s="16" t="s">
        <v>16</v>
      </c>
      <c r="B6" s="17" t="s">
        <v>17</v>
      </c>
      <c r="C6" s="18">
        <v>1600</v>
      </c>
      <c r="D6" s="19" t="s">
        <v>18</v>
      </c>
      <c r="E6" s="20"/>
    </row>
    <row r="7" spans="1:5" ht="15" customHeight="1" x14ac:dyDescent="0.2">
      <c r="A7" s="16" t="s">
        <v>19</v>
      </c>
      <c r="B7" s="17" t="s">
        <v>20</v>
      </c>
      <c r="C7" s="18">
        <v>4.2300000000000004</v>
      </c>
      <c r="D7" s="19" t="s">
        <v>8</v>
      </c>
      <c r="E7" s="21" t="s">
        <v>21</v>
      </c>
    </row>
    <row r="8" spans="1:5" ht="14" customHeight="1" x14ac:dyDescent="0.2">
      <c r="A8" s="101" t="s">
        <v>22</v>
      </c>
      <c r="B8" s="6" t="s">
        <v>23</v>
      </c>
      <c r="C8" s="14">
        <v>-0.02</v>
      </c>
      <c r="D8" s="8" t="s">
        <v>8</v>
      </c>
      <c r="E8" s="22" t="s">
        <v>24</v>
      </c>
    </row>
    <row r="9" spans="1:5" ht="13.5" customHeight="1" x14ac:dyDescent="0.2">
      <c r="A9" s="103"/>
      <c r="B9" s="23" t="s">
        <v>25</v>
      </c>
      <c r="C9" s="24">
        <v>-0.62</v>
      </c>
      <c r="D9" s="25" t="s">
        <v>8</v>
      </c>
      <c r="E9" s="26" t="s">
        <v>26</v>
      </c>
    </row>
    <row r="10" spans="1:5" ht="13.5" customHeight="1" x14ac:dyDescent="0.2">
      <c r="A10" s="103"/>
      <c r="B10" s="23" t="s">
        <v>27</v>
      </c>
      <c r="C10" s="24">
        <v>1</v>
      </c>
      <c r="D10" s="25" t="s">
        <v>8</v>
      </c>
      <c r="E10" s="27"/>
    </row>
    <row r="11" spans="1:5" ht="13.5" customHeight="1" x14ac:dyDescent="0.2">
      <c r="A11" s="103"/>
      <c r="B11" s="23" t="s">
        <v>28</v>
      </c>
      <c r="C11" s="24">
        <v>1</v>
      </c>
      <c r="D11" s="25" t="s">
        <v>8</v>
      </c>
      <c r="E11" s="27"/>
    </row>
    <row r="12" spans="1:5" ht="13.5" customHeight="1" x14ac:dyDescent="0.2">
      <c r="A12" s="103"/>
      <c r="B12" s="23" t="s">
        <v>29</v>
      </c>
      <c r="C12" s="24">
        <v>50</v>
      </c>
      <c r="D12" s="25" t="s">
        <v>15</v>
      </c>
      <c r="E12" s="27"/>
    </row>
    <row r="13" spans="1:5" ht="13.5" customHeight="1" x14ac:dyDescent="0.2">
      <c r="A13" s="103"/>
      <c r="B13" s="23" t="s">
        <v>30</v>
      </c>
      <c r="C13" s="24">
        <v>1.3</v>
      </c>
      <c r="D13" s="25" t="s">
        <v>31</v>
      </c>
      <c r="E13" s="27"/>
    </row>
    <row r="14" spans="1:5" ht="15" customHeight="1" x14ac:dyDescent="0.2">
      <c r="A14" s="102"/>
      <c r="B14" s="10" t="s">
        <v>32</v>
      </c>
      <c r="C14" s="15">
        <v>1.2250000000000001</v>
      </c>
      <c r="D14" s="12" t="s">
        <v>33</v>
      </c>
      <c r="E14" s="28" t="s">
        <v>34</v>
      </c>
    </row>
    <row r="15" spans="1:5" ht="14" customHeight="1" x14ac:dyDescent="0.2">
      <c r="A15" s="101" t="s">
        <v>35</v>
      </c>
      <c r="B15" s="6" t="s">
        <v>36</v>
      </c>
      <c r="C15" s="14">
        <v>254</v>
      </c>
      <c r="D15" s="8" t="s">
        <v>18</v>
      </c>
      <c r="E15" s="22" t="s">
        <v>37</v>
      </c>
    </row>
    <row r="16" spans="1:5" ht="13.5" customHeight="1" x14ac:dyDescent="0.2">
      <c r="A16" s="103"/>
      <c r="B16" s="23" t="s">
        <v>38</v>
      </c>
      <c r="C16" s="24">
        <v>45.2</v>
      </c>
      <c r="D16" s="25" t="s">
        <v>18</v>
      </c>
      <c r="E16" s="26" t="s">
        <v>37</v>
      </c>
    </row>
    <row r="17" spans="1:5" ht="13.5" customHeight="1" x14ac:dyDescent="0.2">
      <c r="A17" s="103"/>
      <c r="B17" s="23" t="s">
        <v>39</v>
      </c>
      <c r="C17" s="24">
        <v>0.45</v>
      </c>
      <c r="D17" s="25" t="s">
        <v>8</v>
      </c>
      <c r="E17" s="26" t="s">
        <v>40</v>
      </c>
    </row>
    <row r="18" spans="1:5" ht="13.5" customHeight="1" x14ac:dyDescent="0.2">
      <c r="A18" s="103"/>
      <c r="B18" s="23" t="s">
        <v>41</v>
      </c>
      <c r="C18" s="24">
        <v>2</v>
      </c>
      <c r="D18" s="25" t="s">
        <v>8</v>
      </c>
      <c r="E18" s="26" t="s">
        <v>37</v>
      </c>
    </row>
    <row r="19" spans="1:5" ht="13.5" customHeight="1" x14ac:dyDescent="0.2">
      <c r="A19" s="103"/>
      <c r="B19" s="23" t="s">
        <v>42</v>
      </c>
      <c r="C19" s="24">
        <v>31.75</v>
      </c>
      <c r="D19" s="25" t="s">
        <v>18</v>
      </c>
      <c r="E19" s="26" t="s">
        <v>37</v>
      </c>
    </row>
    <row r="20" spans="1:5" ht="13.5" customHeight="1" x14ac:dyDescent="0.2">
      <c r="A20" s="103"/>
      <c r="B20" s="23" t="s">
        <v>43</v>
      </c>
      <c r="C20" s="24">
        <v>17</v>
      </c>
      <c r="D20" s="25" t="s">
        <v>18</v>
      </c>
      <c r="E20" s="26" t="s">
        <v>44</v>
      </c>
    </row>
    <row r="21" spans="1:5" ht="15" customHeight="1" x14ac:dyDescent="0.2">
      <c r="A21" s="102"/>
      <c r="B21" s="10" t="s">
        <v>45</v>
      </c>
      <c r="C21" s="15">
        <v>6</v>
      </c>
      <c r="D21" s="12" t="s">
        <v>8</v>
      </c>
      <c r="E21" s="28" t="s">
        <v>46</v>
      </c>
    </row>
    <row r="22" spans="1:5" ht="14" customHeight="1" x14ac:dyDescent="0.2">
      <c r="A22" s="101" t="s">
        <v>47</v>
      </c>
      <c r="B22" s="6" t="s">
        <v>48</v>
      </c>
      <c r="C22" s="14">
        <v>1</v>
      </c>
      <c r="D22" s="8" t="s">
        <v>8</v>
      </c>
      <c r="E22" s="9"/>
    </row>
    <row r="23" spans="1:5" ht="13.5" customHeight="1" x14ac:dyDescent="0.2">
      <c r="A23" s="103"/>
      <c r="B23" s="23" t="s">
        <v>49</v>
      </c>
      <c r="C23" s="24">
        <v>219.02</v>
      </c>
      <c r="D23" s="25" t="s">
        <v>18</v>
      </c>
      <c r="E23" s="26" t="s">
        <v>50</v>
      </c>
    </row>
    <row r="24" spans="1:5" ht="13.5" customHeight="1" x14ac:dyDescent="0.2">
      <c r="A24" s="103"/>
      <c r="B24" s="23" t="s">
        <v>51</v>
      </c>
      <c r="C24" s="24">
        <v>-1.6E-2</v>
      </c>
      <c r="D24" s="25" t="s">
        <v>8</v>
      </c>
      <c r="E24" s="26" t="s">
        <v>52</v>
      </c>
    </row>
    <row r="25" spans="1:5" ht="13.5" customHeight="1" x14ac:dyDescent="0.2">
      <c r="A25" s="103"/>
      <c r="B25" s="23" t="s">
        <v>53</v>
      </c>
      <c r="C25" s="24">
        <v>1.4</v>
      </c>
      <c r="D25" s="25" t="s">
        <v>8</v>
      </c>
      <c r="E25" s="26" t="s">
        <v>54</v>
      </c>
    </row>
    <row r="26" spans="1:5" ht="13.5" customHeight="1" x14ac:dyDescent="0.2">
      <c r="A26" s="103"/>
      <c r="B26" s="23" t="s">
        <v>55</v>
      </c>
      <c r="C26" s="24" cm="1">
        <f t="array" ref="C26">C4/4</f>
        <v>87.5</v>
      </c>
      <c r="D26" s="25" t="s">
        <v>13</v>
      </c>
      <c r="E26" s="26" t="s">
        <v>56</v>
      </c>
    </row>
    <row r="27" spans="1:5" ht="13.5" customHeight="1" x14ac:dyDescent="0.2">
      <c r="A27" s="103"/>
      <c r="B27" s="23" t="s">
        <v>57</v>
      </c>
      <c r="C27" s="24">
        <v>1E-4</v>
      </c>
      <c r="D27" s="25" t="s">
        <v>58</v>
      </c>
      <c r="E27" s="26" t="s">
        <v>59</v>
      </c>
    </row>
    <row r="28" spans="1:5" ht="13.5" customHeight="1" x14ac:dyDescent="0.2">
      <c r="A28" s="103"/>
      <c r="B28" s="23" t="s">
        <v>60</v>
      </c>
      <c r="C28" s="24">
        <v>1</v>
      </c>
      <c r="D28" s="25" t="s">
        <v>8</v>
      </c>
      <c r="E28" s="26" t="s">
        <v>61</v>
      </c>
    </row>
    <row r="29" spans="1:5" ht="13.5" customHeight="1" x14ac:dyDescent="0.2">
      <c r="A29" s="103"/>
      <c r="B29" s="23" t="s">
        <v>62</v>
      </c>
      <c r="C29" s="24">
        <v>85.4</v>
      </c>
      <c r="D29" s="25" t="s">
        <v>13</v>
      </c>
      <c r="E29" s="26" t="s">
        <v>56</v>
      </c>
    </row>
    <row r="30" spans="1:5" ht="13.5" customHeight="1" x14ac:dyDescent="0.2">
      <c r="A30" s="103"/>
      <c r="B30" s="23" t="s">
        <v>63</v>
      </c>
      <c r="C30" s="24">
        <v>1E-4</v>
      </c>
      <c r="D30" s="25" t="s">
        <v>58</v>
      </c>
      <c r="E30" s="26" t="s">
        <v>59</v>
      </c>
    </row>
    <row r="31" spans="1:5" ht="13.5" customHeight="1" x14ac:dyDescent="0.2">
      <c r="A31" s="103"/>
      <c r="B31" s="23" t="s">
        <v>64</v>
      </c>
      <c r="C31" s="24">
        <v>800</v>
      </c>
      <c r="D31" s="25" t="s">
        <v>65</v>
      </c>
      <c r="E31" s="26" t="s">
        <v>66</v>
      </c>
    </row>
    <row r="32" spans="1:5" ht="15" customHeight="1" x14ac:dyDescent="0.2">
      <c r="A32" s="102"/>
      <c r="B32" s="10" t="s">
        <v>67</v>
      </c>
      <c r="C32" s="15">
        <v>1000</v>
      </c>
      <c r="D32" s="12" t="s">
        <v>65</v>
      </c>
      <c r="E32" s="28" t="s">
        <v>66</v>
      </c>
    </row>
    <row r="33" spans="1:5" ht="14" customHeight="1" x14ac:dyDescent="0.2">
      <c r="A33" s="98" t="s">
        <v>68</v>
      </c>
      <c r="B33" s="6" t="s">
        <v>69</v>
      </c>
      <c r="C33" s="7" t="s">
        <v>70</v>
      </c>
      <c r="D33" s="8" t="s">
        <v>8</v>
      </c>
      <c r="E33" s="9"/>
    </row>
    <row r="34" spans="1:5" ht="13.5" customHeight="1" x14ac:dyDescent="0.2">
      <c r="A34" s="99"/>
      <c r="B34" s="23" t="s">
        <v>71</v>
      </c>
      <c r="C34" s="24">
        <v>0.01</v>
      </c>
      <c r="D34" s="25" t="s">
        <v>72</v>
      </c>
      <c r="E34" s="26" t="s">
        <v>73</v>
      </c>
    </row>
    <row r="35" spans="1:5" ht="13.5" customHeight="1" x14ac:dyDescent="0.2">
      <c r="A35" s="99"/>
      <c r="B35" s="23" t="s">
        <v>74</v>
      </c>
      <c r="C35" s="24">
        <v>1</v>
      </c>
      <c r="D35" s="25" t="s">
        <v>8</v>
      </c>
      <c r="E35" s="26" t="s">
        <v>75</v>
      </c>
    </row>
    <row r="36" spans="1:5" ht="13.5" customHeight="1" x14ac:dyDescent="0.2">
      <c r="A36" s="99"/>
      <c r="B36" s="23" t="s">
        <v>76</v>
      </c>
      <c r="C36" s="24">
        <v>0.98</v>
      </c>
      <c r="D36" s="25" t="s">
        <v>8</v>
      </c>
      <c r="E36" s="26" t="s">
        <v>77</v>
      </c>
    </row>
    <row r="37" spans="1:5" ht="13.5" customHeight="1" x14ac:dyDescent="0.2">
      <c r="A37" s="99"/>
      <c r="B37" s="23" t="s">
        <v>78</v>
      </c>
      <c r="C37" s="24">
        <v>1</v>
      </c>
      <c r="D37" s="25" t="s">
        <v>8</v>
      </c>
      <c r="E37" s="26" t="s">
        <v>75</v>
      </c>
    </row>
    <row r="38" spans="1:5" ht="13.5" customHeight="1" x14ac:dyDescent="0.2">
      <c r="A38" s="99"/>
      <c r="B38" s="23" t="s">
        <v>79</v>
      </c>
      <c r="C38" s="24">
        <v>1</v>
      </c>
      <c r="D38" s="25" t="s">
        <v>8</v>
      </c>
      <c r="E38" s="26" t="s">
        <v>80</v>
      </c>
    </row>
    <row r="39" spans="1:5" ht="13.5" customHeight="1" x14ac:dyDescent="0.2">
      <c r="A39" s="99"/>
      <c r="B39" s="23" t="s">
        <v>81</v>
      </c>
      <c r="C39" s="24">
        <v>5</v>
      </c>
      <c r="D39" s="25" t="s">
        <v>8</v>
      </c>
      <c r="E39" s="27"/>
    </row>
    <row r="40" spans="1:5" ht="15" customHeight="1" x14ac:dyDescent="0.2">
      <c r="A40" s="100"/>
      <c r="B40" s="29" t="s">
        <v>82</v>
      </c>
      <c r="C40" s="15">
        <v>1</v>
      </c>
      <c r="D40" s="12" t="s">
        <v>8</v>
      </c>
      <c r="E40" s="13"/>
    </row>
    <row r="41" spans="1:5" ht="14" customHeight="1" x14ac:dyDescent="0.2">
      <c r="A41" s="30" t="s">
        <v>83</v>
      </c>
      <c r="B41" s="31" t="s">
        <v>84</v>
      </c>
      <c r="C41" s="14">
        <v>30.8</v>
      </c>
      <c r="D41" s="8" t="s">
        <v>85</v>
      </c>
      <c r="E41" s="9"/>
    </row>
    <row r="42" spans="1:5" ht="13.5" customHeight="1" x14ac:dyDescent="0.2">
      <c r="A42" s="32"/>
      <c r="B42" s="33" t="s">
        <v>86</v>
      </c>
      <c r="C42" s="24">
        <v>50</v>
      </c>
      <c r="D42" s="25" t="s">
        <v>87</v>
      </c>
      <c r="E42" s="27"/>
    </row>
    <row r="43" spans="1:5" ht="13.5" customHeight="1" x14ac:dyDescent="0.2">
      <c r="A43" s="32"/>
      <c r="B43" s="33" t="s">
        <v>88</v>
      </c>
      <c r="C43" s="24">
        <v>3</v>
      </c>
      <c r="D43" s="25" t="s">
        <v>89</v>
      </c>
      <c r="E43" s="27"/>
    </row>
    <row r="44" spans="1:5" ht="13.5" customHeight="1" x14ac:dyDescent="0.2">
      <c r="A44" s="32"/>
      <c r="B44" s="33" t="s">
        <v>90</v>
      </c>
      <c r="C44" s="24">
        <v>48</v>
      </c>
      <c r="D44" s="25" t="s">
        <v>8</v>
      </c>
      <c r="E44" s="27"/>
    </row>
    <row r="45" spans="1:5" ht="13.5" customHeight="1" x14ac:dyDescent="0.2">
      <c r="A45" s="32"/>
      <c r="B45" s="33" t="s">
        <v>91</v>
      </c>
      <c r="C45" s="24">
        <v>10</v>
      </c>
      <c r="D45" s="25" t="s">
        <v>8</v>
      </c>
      <c r="E45" s="27"/>
    </row>
    <row r="46" spans="1:5" ht="13.5" customHeight="1" x14ac:dyDescent="0.2">
      <c r="A46" s="32"/>
      <c r="B46" s="34"/>
      <c r="C46" s="35"/>
      <c r="D46" s="36"/>
      <c r="E46" s="27"/>
    </row>
    <row r="47" spans="1:5" ht="13.5" customHeight="1" x14ac:dyDescent="0.2">
      <c r="A47" s="32"/>
      <c r="B47" s="34"/>
      <c r="C47" s="35"/>
      <c r="D47" s="36"/>
      <c r="E47" s="27"/>
    </row>
    <row r="48" spans="1:5" ht="13.5" customHeight="1" x14ac:dyDescent="0.2">
      <c r="A48" s="32"/>
      <c r="B48" s="34"/>
      <c r="C48" s="35"/>
      <c r="D48" s="36"/>
      <c r="E48" s="27"/>
    </row>
    <row r="49" spans="1:5" ht="15" customHeight="1" x14ac:dyDescent="0.2">
      <c r="A49" s="37"/>
      <c r="B49" s="38"/>
      <c r="C49" s="39"/>
      <c r="D49" s="40"/>
      <c r="E49" s="13"/>
    </row>
  </sheetData>
  <mergeCells count="6">
    <mergeCell ref="A33:A40"/>
    <mergeCell ref="A2:A3"/>
    <mergeCell ref="A4:A5"/>
    <mergeCell ref="A8:A14"/>
    <mergeCell ref="A15:A21"/>
    <mergeCell ref="A22:A32"/>
  </mergeCells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8"/>
  <sheetViews>
    <sheetView showGridLines="0" workbookViewId="0"/>
  </sheetViews>
  <sheetFormatPr baseColWidth="10" defaultColWidth="8.83203125" defaultRowHeight="14.5" customHeight="1" x14ac:dyDescent="0.2"/>
  <cols>
    <col min="1" max="1" width="2.1640625" style="1" customWidth="1"/>
    <col min="2" max="2" width="20" style="1" customWidth="1"/>
    <col min="3" max="3" width="14" style="1" customWidth="1"/>
    <col min="4" max="4" width="8.83203125" style="1" customWidth="1"/>
    <col min="5" max="16384" width="8.83203125" style="1"/>
  </cols>
  <sheetData>
    <row r="1" spans="1:3" ht="13.5" customHeight="1" x14ac:dyDescent="0.2">
      <c r="A1" s="41"/>
      <c r="B1" s="42" t="s">
        <v>92</v>
      </c>
      <c r="C1" s="43" t="s">
        <v>93</v>
      </c>
    </row>
    <row r="2" spans="1:3" ht="13.5" customHeight="1" x14ac:dyDescent="0.2">
      <c r="A2" s="44"/>
      <c r="B2" s="45">
        <v>0</v>
      </c>
      <c r="C2" s="46">
        <v>51.0306904761905</v>
      </c>
    </row>
    <row r="3" spans="1:3" ht="13.5" customHeight="1" x14ac:dyDescent="0.2">
      <c r="A3" s="44"/>
      <c r="B3" s="47">
        <v>100</v>
      </c>
      <c r="C3" s="48">
        <v>51.0306904761905</v>
      </c>
    </row>
    <row r="4" spans="1:3" ht="13.5" customHeight="1" x14ac:dyDescent="0.2">
      <c r="A4" s="44"/>
      <c r="B4" s="45">
        <v>200</v>
      </c>
      <c r="C4" s="46">
        <v>51.0306904761905</v>
      </c>
    </row>
    <row r="5" spans="1:3" ht="13.5" customHeight="1" x14ac:dyDescent="0.2">
      <c r="A5" s="44"/>
      <c r="B5" s="47">
        <v>300</v>
      </c>
      <c r="C5" s="48">
        <v>51.0306904761905</v>
      </c>
    </row>
    <row r="6" spans="1:3" ht="13.5" customHeight="1" x14ac:dyDescent="0.2">
      <c r="A6" s="44"/>
      <c r="B6" s="45">
        <v>400</v>
      </c>
      <c r="C6" s="46">
        <v>51.0306904761905</v>
      </c>
    </row>
    <row r="7" spans="1:3" ht="13.5" customHeight="1" x14ac:dyDescent="0.2">
      <c r="A7" s="44"/>
      <c r="B7" s="47">
        <v>500</v>
      </c>
      <c r="C7" s="48">
        <v>51.0306904761905</v>
      </c>
    </row>
    <row r="8" spans="1:3" ht="13.5" customHeight="1" x14ac:dyDescent="0.2">
      <c r="A8" s="44"/>
      <c r="B8" s="45">
        <v>600</v>
      </c>
      <c r="C8" s="46">
        <v>51.0306904761905</v>
      </c>
    </row>
    <row r="9" spans="1:3" ht="13.5" customHeight="1" x14ac:dyDescent="0.2">
      <c r="A9" s="44"/>
      <c r="B9" s="47">
        <v>700</v>
      </c>
      <c r="C9" s="48">
        <v>51.0306904761905</v>
      </c>
    </row>
    <row r="10" spans="1:3" ht="13.5" customHeight="1" x14ac:dyDescent="0.2">
      <c r="A10" s="44"/>
      <c r="B10" s="45">
        <v>800</v>
      </c>
      <c r="C10" s="46">
        <v>51.0306904761905</v>
      </c>
    </row>
    <row r="11" spans="1:3" ht="13.5" customHeight="1" x14ac:dyDescent="0.2">
      <c r="A11" s="44"/>
      <c r="B11" s="47">
        <v>900</v>
      </c>
      <c r="C11" s="48">
        <v>51.0306904761905</v>
      </c>
    </row>
    <row r="12" spans="1:3" ht="13.5" customHeight="1" x14ac:dyDescent="0.2">
      <c r="A12" s="44"/>
      <c r="B12" s="45">
        <v>1000</v>
      </c>
      <c r="C12" s="46">
        <v>51.0306904761905</v>
      </c>
    </row>
    <row r="13" spans="1:3" ht="13.5" customHeight="1" x14ac:dyDescent="0.2">
      <c r="A13" s="44"/>
      <c r="B13" s="47">
        <v>1100</v>
      </c>
      <c r="C13" s="48">
        <v>51.0306904761905</v>
      </c>
    </row>
    <row r="14" spans="1:3" ht="13.5" customHeight="1" x14ac:dyDescent="0.2">
      <c r="A14" s="44"/>
      <c r="B14" s="45">
        <v>1200</v>
      </c>
      <c r="C14" s="46">
        <v>51.0306904761905</v>
      </c>
    </row>
    <row r="15" spans="1:3" ht="13.5" customHeight="1" x14ac:dyDescent="0.2">
      <c r="A15" s="44"/>
      <c r="B15" s="47">
        <v>1300</v>
      </c>
      <c r="C15" s="48">
        <v>51.0306904761905</v>
      </c>
    </row>
    <row r="16" spans="1:3" ht="13.5" customHeight="1" x14ac:dyDescent="0.2">
      <c r="A16" s="44"/>
      <c r="B16" s="45">
        <v>1400</v>
      </c>
      <c r="C16" s="46">
        <v>51.0306904761905</v>
      </c>
    </row>
    <row r="17" spans="1:3" ht="13.5" customHeight="1" x14ac:dyDescent="0.2">
      <c r="A17" s="44"/>
      <c r="B17" s="47">
        <v>1500</v>
      </c>
      <c r="C17" s="48">
        <v>51.0306904761905</v>
      </c>
    </row>
    <row r="18" spans="1:3" ht="13.5" customHeight="1" x14ac:dyDescent="0.2">
      <c r="A18" s="44"/>
      <c r="B18" s="45">
        <v>1600</v>
      </c>
      <c r="C18" s="46">
        <v>51.0306904761905</v>
      </c>
    </row>
    <row r="19" spans="1:3" ht="13.5" customHeight="1" x14ac:dyDescent="0.2">
      <c r="A19" s="44"/>
      <c r="B19" s="47">
        <v>1700</v>
      </c>
      <c r="C19" s="48">
        <v>51.0306904761905</v>
      </c>
    </row>
    <row r="20" spans="1:3" ht="13.5" customHeight="1" x14ac:dyDescent="0.2">
      <c r="A20" s="44"/>
      <c r="B20" s="45">
        <v>1800</v>
      </c>
      <c r="C20" s="46">
        <v>51.0306904761905</v>
      </c>
    </row>
    <row r="21" spans="1:3" ht="13.5" customHeight="1" x14ac:dyDescent="0.2">
      <c r="A21" s="44"/>
      <c r="B21" s="47">
        <v>1900</v>
      </c>
      <c r="C21" s="48">
        <v>51.0306904761905</v>
      </c>
    </row>
    <row r="22" spans="1:3" ht="13.5" customHeight="1" x14ac:dyDescent="0.2">
      <c r="A22" s="44"/>
      <c r="B22" s="45">
        <v>2000</v>
      </c>
      <c r="C22" s="46">
        <v>51.0306904761905</v>
      </c>
    </row>
    <row r="23" spans="1:3" ht="13.5" customHeight="1" x14ac:dyDescent="0.2">
      <c r="A23" s="44"/>
      <c r="B23" s="47">
        <v>2100</v>
      </c>
      <c r="C23" s="48">
        <v>51.0306904761905</v>
      </c>
    </row>
    <row r="24" spans="1:3" ht="13.5" customHeight="1" x14ac:dyDescent="0.2">
      <c r="A24" s="44"/>
      <c r="B24" s="45">
        <v>2200</v>
      </c>
      <c r="C24" s="46">
        <v>51.0306904761905</v>
      </c>
    </row>
    <row r="25" spans="1:3" ht="13.5" customHeight="1" x14ac:dyDescent="0.2">
      <c r="A25" s="44"/>
      <c r="B25" s="47">
        <v>2300</v>
      </c>
      <c r="C25" s="48">
        <v>51.0306904761905</v>
      </c>
    </row>
    <row r="26" spans="1:3" ht="13.5" customHeight="1" x14ac:dyDescent="0.2">
      <c r="A26" s="44"/>
      <c r="B26" s="45">
        <v>2400</v>
      </c>
      <c r="C26" s="46">
        <v>51.0306904761905</v>
      </c>
    </row>
    <row r="27" spans="1:3" ht="13.5" customHeight="1" x14ac:dyDescent="0.2">
      <c r="A27" s="44"/>
      <c r="B27" s="47">
        <v>2500</v>
      </c>
      <c r="C27" s="48">
        <v>51.0306904761905</v>
      </c>
    </row>
    <row r="28" spans="1:3" ht="13.5" customHeight="1" x14ac:dyDescent="0.2">
      <c r="A28" s="44"/>
      <c r="B28" s="45">
        <v>2600</v>
      </c>
      <c r="C28" s="46">
        <v>51.0306904761905</v>
      </c>
    </row>
    <row r="29" spans="1:3" ht="13.5" customHeight="1" x14ac:dyDescent="0.2">
      <c r="A29" s="44"/>
      <c r="B29" s="47">
        <v>2700</v>
      </c>
      <c r="C29" s="48">
        <v>51.0306904761905</v>
      </c>
    </row>
    <row r="30" spans="1:3" ht="13.5" customHeight="1" x14ac:dyDescent="0.2">
      <c r="A30" s="44"/>
      <c r="B30" s="45">
        <v>2800</v>
      </c>
      <c r="C30" s="46">
        <v>51.0306904761905</v>
      </c>
    </row>
    <row r="31" spans="1:3" ht="13.5" customHeight="1" x14ac:dyDescent="0.2">
      <c r="A31" s="44"/>
      <c r="B31" s="47">
        <v>2900</v>
      </c>
      <c r="C31" s="48">
        <v>51.0306904761905</v>
      </c>
    </row>
    <row r="32" spans="1:3" ht="13.5" customHeight="1" x14ac:dyDescent="0.2">
      <c r="A32" s="44"/>
      <c r="B32" s="45">
        <v>3000</v>
      </c>
      <c r="C32" s="46">
        <v>51.0306904761905</v>
      </c>
    </row>
    <row r="33" spans="1:3" ht="13.5" customHeight="1" x14ac:dyDescent="0.2">
      <c r="A33" s="44"/>
      <c r="B33" s="47">
        <v>3100</v>
      </c>
      <c r="C33" s="48">
        <v>51.0306904761905</v>
      </c>
    </row>
    <row r="34" spans="1:3" ht="13.5" customHeight="1" x14ac:dyDescent="0.2">
      <c r="A34" s="44"/>
      <c r="B34" s="45">
        <v>3200</v>
      </c>
      <c r="C34" s="46">
        <v>51.0306904761905</v>
      </c>
    </row>
    <row r="35" spans="1:3" ht="13.5" customHeight="1" x14ac:dyDescent="0.2">
      <c r="A35" s="44"/>
      <c r="B35" s="47">
        <v>3300</v>
      </c>
      <c r="C35" s="48">
        <v>51.0306904761905</v>
      </c>
    </row>
    <row r="36" spans="1:3" ht="13.5" customHeight="1" x14ac:dyDescent="0.2">
      <c r="A36" s="44"/>
      <c r="B36" s="45">
        <v>3400</v>
      </c>
      <c r="C36" s="46">
        <v>51.0306904761905</v>
      </c>
    </row>
    <row r="37" spans="1:3" ht="13.5" customHeight="1" x14ac:dyDescent="0.2">
      <c r="A37" s="44"/>
      <c r="B37" s="47">
        <v>3500</v>
      </c>
      <c r="C37" s="48">
        <v>51.0306904761905</v>
      </c>
    </row>
    <row r="38" spans="1:3" ht="13.5" customHeight="1" x14ac:dyDescent="0.2">
      <c r="A38" s="44"/>
      <c r="B38" s="45">
        <v>3600</v>
      </c>
      <c r="C38" s="46">
        <v>51.0306904761905</v>
      </c>
    </row>
    <row r="39" spans="1:3" ht="13.5" customHeight="1" x14ac:dyDescent="0.2">
      <c r="A39" s="44"/>
      <c r="B39" s="47">
        <v>3700</v>
      </c>
      <c r="C39" s="49">
        <v>44.843689833269003</v>
      </c>
    </row>
    <row r="40" spans="1:3" ht="13.5" customHeight="1" x14ac:dyDescent="0.2">
      <c r="A40" s="44"/>
      <c r="B40" s="45">
        <v>3800</v>
      </c>
      <c r="C40" s="46">
        <v>36.821568821896101</v>
      </c>
    </row>
    <row r="41" spans="1:3" ht="13.5" customHeight="1" x14ac:dyDescent="0.2">
      <c r="A41" s="44"/>
      <c r="B41" s="47">
        <v>3900</v>
      </c>
      <c r="C41" s="49">
        <v>30.062728824122001</v>
      </c>
    </row>
    <row r="42" spans="1:3" ht="13.5" customHeight="1" x14ac:dyDescent="0.2">
      <c r="A42" s="44"/>
      <c r="B42" s="45">
        <v>4000</v>
      </c>
      <c r="C42" s="46">
        <v>25.337074314098199</v>
      </c>
    </row>
    <row r="43" spans="1:3" ht="13.5" customHeight="1" x14ac:dyDescent="0.2">
      <c r="A43" s="44"/>
      <c r="B43" s="47">
        <v>4100</v>
      </c>
      <c r="C43" s="48">
        <v>21.037412309536101</v>
      </c>
    </row>
    <row r="44" spans="1:3" ht="13.5" customHeight="1" x14ac:dyDescent="0.2">
      <c r="A44" s="44"/>
      <c r="B44" s="45">
        <v>4200</v>
      </c>
      <c r="C44" s="46">
        <v>17.084032426778201</v>
      </c>
    </row>
    <row r="45" spans="1:3" ht="13.5" customHeight="1" x14ac:dyDescent="0.2">
      <c r="A45" s="44"/>
      <c r="B45" s="47">
        <v>4300</v>
      </c>
      <c r="C45" s="48">
        <v>13.4184887499186</v>
      </c>
    </row>
    <row r="46" spans="1:3" ht="13.5" customHeight="1" x14ac:dyDescent="0.2">
      <c r="A46" s="44"/>
      <c r="B46" s="45">
        <v>4400</v>
      </c>
      <c r="C46" s="50">
        <v>9.9959268483305195</v>
      </c>
    </row>
    <row r="47" spans="1:3" ht="13.5" customHeight="1" x14ac:dyDescent="0.2">
      <c r="A47" s="44"/>
      <c r="B47" s="47">
        <v>4500</v>
      </c>
      <c r="C47" s="51">
        <v>6.7769653459149204</v>
      </c>
    </row>
    <row r="48" spans="1:3" ht="13.5" customHeight="1" x14ac:dyDescent="0.2">
      <c r="A48" s="52"/>
      <c r="B48" s="45">
        <v>4600</v>
      </c>
      <c r="C48" s="50">
        <v>3.7395748460445501</v>
      </c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2"/>
  <sheetViews>
    <sheetView showGridLines="0" workbookViewId="0"/>
  </sheetViews>
  <sheetFormatPr baseColWidth="10" defaultColWidth="8.83203125" defaultRowHeight="14.5" customHeight="1" x14ac:dyDescent="0.2"/>
  <cols>
    <col min="1" max="2" width="16.6640625" style="1" customWidth="1"/>
    <col min="3" max="3" width="15.33203125" style="1" customWidth="1"/>
    <col min="4" max="6" width="8.83203125" style="1" customWidth="1"/>
    <col min="7" max="16384" width="8.83203125" style="1"/>
  </cols>
  <sheetData>
    <row r="1" spans="1:5" ht="13.5" customHeight="1" x14ac:dyDescent="0.2">
      <c r="A1" s="53" t="s">
        <v>94</v>
      </c>
      <c r="B1" s="53" t="s">
        <v>95</v>
      </c>
      <c r="C1" s="54" t="s">
        <v>96</v>
      </c>
      <c r="D1" s="55"/>
      <c r="E1" s="56"/>
    </row>
    <row r="2" spans="1:5" ht="13.5" customHeight="1" x14ac:dyDescent="0.2">
      <c r="A2" s="57">
        <v>0</v>
      </c>
      <c r="B2" s="58">
        <v>2.8</v>
      </c>
      <c r="C2" s="59">
        <v>9.9444444000000007E-2</v>
      </c>
      <c r="D2" s="60"/>
      <c r="E2" s="61"/>
    </row>
    <row r="3" spans="1:5" ht="13.5" customHeight="1" x14ac:dyDescent="0.2">
      <c r="A3" s="57">
        <v>8.6281277000000003E-2</v>
      </c>
      <c r="B3" s="57">
        <v>2.8</v>
      </c>
      <c r="C3" s="62"/>
      <c r="D3" s="63"/>
      <c r="E3" s="64"/>
    </row>
    <row r="4" spans="1:5" ht="13.5" customHeight="1" x14ac:dyDescent="0.2">
      <c r="A4" s="57">
        <v>0.69025021600000003</v>
      </c>
      <c r="B4" s="57">
        <v>2.8332023579999999</v>
      </c>
      <c r="C4" s="65"/>
      <c r="D4" s="66"/>
      <c r="E4" s="67"/>
    </row>
    <row r="5" spans="1:5" ht="13.5" customHeight="1" x14ac:dyDescent="0.2">
      <c r="A5" s="57">
        <v>1.380500431</v>
      </c>
      <c r="B5" s="57">
        <v>2.8689587429999999</v>
      </c>
      <c r="C5" s="65"/>
      <c r="D5" s="68"/>
      <c r="E5" s="69"/>
    </row>
    <row r="6" spans="1:5" ht="13.5" customHeight="1" x14ac:dyDescent="0.2">
      <c r="A6" s="57">
        <v>2.4158757550000001</v>
      </c>
      <c r="B6" s="57">
        <v>2.9149312379999999</v>
      </c>
      <c r="C6" s="65"/>
      <c r="D6" s="68"/>
      <c r="E6" s="69"/>
    </row>
    <row r="7" spans="1:5" ht="13.5" customHeight="1" x14ac:dyDescent="0.2">
      <c r="A7" s="57">
        <v>3.4512510789999999</v>
      </c>
      <c r="B7" s="57">
        <v>2.9660117879999999</v>
      </c>
      <c r="C7" s="65"/>
      <c r="D7" s="68"/>
      <c r="E7" s="69"/>
    </row>
    <row r="8" spans="1:5" ht="13.5" customHeight="1" x14ac:dyDescent="0.2">
      <c r="A8" s="57">
        <v>4.7454702329999998</v>
      </c>
      <c r="B8" s="57">
        <v>3.0145383099999998</v>
      </c>
      <c r="C8" s="65"/>
      <c r="D8" s="68"/>
      <c r="E8" s="69"/>
    </row>
    <row r="9" spans="1:5" ht="13.5" customHeight="1" x14ac:dyDescent="0.2">
      <c r="A9" s="57">
        <v>6.2985332180000002</v>
      </c>
      <c r="B9" s="57">
        <v>3.0579567779999999</v>
      </c>
      <c r="C9" s="65"/>
      <c r="D9" s="68"/>
      <c r="E9" s="69"/>
    </row>
    <row r="10" spans="1:5" ht="13.5" customHeight="1" x14ac:dyDescent="0.2">
      <c r="A10" s="57">
        <v>7.9378774810000001</v>
      </c>
      <c r="B10" s="57">
        <v>3.0988212179999999</v>
      </c>
      <c r="C10" s="65"/>
      <c r="D10" s="68"/>
      <c r="E10" s="69"/>
    </row>
    <row r="11" spans="1:5" ht="13.5" customHeight="1" x14ac:dyDescent="0.2">
      <c r="A11" s="57">
        <v>9.4909404659999996</v>
      </c>
      <c r="B11" s="57">
        <v>3.1447937129999999</v>
      </c>
      <c r="C11" s="65"/>
      <c r="D11" s="68"/>
      <c r="E11" s="69"/>
    </row>
    <row r="12" spans="1:5" ht="13.5" customHeight="1" x14ac:dyDescent="0.2">
      <c r="A12" s="57">
        <v>10.8714409</v>
      </c>
      <c r="B12" s="57">
        <v>3.1805500979999999</v>
      </c>
      <c r="C12" s="65"/>
      <c r="D12" s="68"/>
      <c r="E12" s="69"/>
    </row>
    <row r="13" spans="1:5" ht="13.5" customHeight="1" x14ac:dyDescent="0.2">
      <c r="A13" s="57">
        <v>12.251941329999999</v>
      </c>
      <c r="B13" s="57">
        <v>3.2163064829999999</v>
      </c>
      <c r="C13" s="65"/>
      <c r="D13" s="68"/>
      <c r="E13" s="69"/>
    </row>
    <row r="14" spans="1:5" ht="13.5" customHeight="1" x14ac:dyDescent="0.2">
      <c r="A14" s="57">
        <v>13.71872304</v>
      </c>
      <c r="B14" s="57">
        <v>3.2495088409999999</v>
      </c>
      <c r="C14" s="65"/>
      <c r="D14" s="68"/>
      <c r="E14" s="69"/>
    </row>
    <row r="15" spans="1:5" ht="13.5" customHeight="1" x14ac:dyDescent="0.2">
      <c r="A15" s="57">
        <v>15.27178602</v>
      </c>
      <c r="B15" s="57">
        <v>3.2827111979999999</v>
      </c>
      <c r="C15" s="65"/>
      <c r="D15" s="68"/>
      <c r="E15" s="69"/>
    </row>
    <row r="16" spans="1:5" ht="13.5" customHeight="1" x14ac:dyDescent="0.2">
      <c r="A16" s="57">
        <v>16.911130279999998</v>
      </c>
      <c r="B16" s="57">
        <v>3.3133595279999999</v>
      </c>
      <c r="C16" s="65"/>
      <c r="D16" s="68"/>
      <c r="E16" s="69"/>
    </row>
    <row r="17" spans="1:5" ht="13.5" customHeight="1" x14ac:dyDescent="0.2">
      <c r="A17" s="57">
        <v>18.291630720000001</v>
      </c>
      <c r="B17" s="57">
        <v>3.333791749</v>
      </c>
      <c r="C17" s="70"/>
      <c r="D17" s="68"/>
      <c r="E17" s="69"/>
    </row>
    <row r="18" spans="1:5" ht="13.5" customHeight="1" x14ac:dyDescent="0.2">
      <c r="A18" s="57">
        <v>20.189818809999998</v>
      </c>
      <c r="B18" s="58">
        <v>3.359332024</v>
      </c>
      <c r="C18" s="71">
        <v>6.6666666999999999E-2</v>
      </c>
      <c r="D18" s="72"/>
      <c r="E18" s="69"/>
    </row>
    <row r="19" spans="1:5" ht="13.5" customHeight="1" x14ac:dyDescent="0.2">
      <c r="A19" s="57">
        <v>21.57031924</v>
      </c>
      <c r="B19" s="57">
        <v>3.3823182709999999</v>
      </c>
      <c r="C19" s="62"/>
      <c r="D19" s="68"/>
      <c r="E19" s="69"/>
    </row>
    <row r="20" spans="1:5" ht="13.5" customHeight="1" x14ac:dyDescent="0.2">
      <c r="A20" s="57">
        <v>23.468507330000001</v>
      </c>
      <c r="B20" s="57">
        <v>3.395088409</v>
      </c>
      <c r="C20" s="65"/>
      <c r="D20" s="68"/>
      <c r="E20" s="69"/>
    </row>
    <row r="21" spans="1:5" ht="13.5" customHeight="1" x14ac:dyDescent="0.2">
      <c r="A21" s="57">
        <v>24.84900777</v>
      </c>
      <c r="B21" s="57">
        <v>3.4129666009999999</v>
      </c>
      <c r="C21" s="65"/>
      <c r="D21" s="68"/>
      <c r="E21" s="69"/>
    </row>
    <row r="22" spans="1:5" ht="13.5" customHeight="1" x14ac:dyDescent="0.2">
      <c r="A22" s="57">
        <v>26.66091458</v>
      </c>
      <c r="B22" s="57">
        <v>3.4282907659999999</v>
      </c>
      <c r="C22" s="65"/>
      <c r="D22" s="68"/>
      <c r="E22" s="69"/>
    </row>
    <row r="23" spans="1:5" ht="13.5" customHeight="1" x14ac:dyDescent="0.2">
      <c r="A23" s="57">
        <v>28.041415010000001</v>
      </c>
      <c r="B23" s="57">
        <v>3.441060904</v>
      </c>
      <c r="C23" s="65"/>
      <c r="D23" s="68"/>
      <c r="E23" s="69"/>
    </row>
    <row r="24" spans="1:5" ht="13.5" customHeight="1" x14ac:dyDescent="0.2">
      <c r="A24" s="57">
        <v>29.853321829999999</v>
      </c>
      <c r="B24" s="57">
        <v>3.4589390959999999</v>
      </c>
      <c r="C24" s="65"/>
      <c r="D24" s="68"/>
      <c r="E24" s="69"/>
    </row>
    <row r="25" spans="1:5" ht="13.5" customHeight="1" x14ac:dyDescent="0.2">
      <c r="A25" s="57">
        <v>31.578947370000002</v>
      </c>
      <c r="B25" s="57">
        <v>3.476817289</v>
      </c>
      <c r="C25" s="65"/>
      <c r="D25" s="68"/>
      <c r="E25" s="69"/>
    </row>
    <row r="26" spans="1:5" ht="13.5" customHeight="1" x14ac:dyDescent="0.2">
      <c r="A26" s="57">
        <v>33.390854179999998</v>
      </c>
      <c r="B26" s="57">
        <v>3.492141454</v>
      </c>
      <c r="C26" s="65"/>
      <c r="D26" s="68"/>
      <c r="E26" s="69"/>
    </row>
    <row r="27" spans="1:5" ht="13.5" customHeight="1" x14ac:dyDescent="0.2">
      <c r="A27" s="57">
        <v>35.375323549999997</v>
      </c>
      <c r="B27" s="57">
        <v>3.507465619</v>
      </c>
      <c r="C27" s="65"/>
      <c r="D27" s="68"/>
      <c r="E27" s="69"/>
    </row>
    <row r="28" spans="1:5" ht="13.5" customHeight="1" x14ac:dyDescent="0.2">
      <c r="A28" s="57">
        <v>37.359792919999997</v>
      </c>
      <c r="B28" s="57">
        <v>3.522789784</v>
      </c>
      <c r="C28" s="65"/>
      <c r="D28" s="68"/>
      <c r="E28" s="69"/>
    </row>
    <row r="29" spans="1:5" ht="13.5" customHeight="1" x14ac:dyDescent="0.2">
      <c r="A29" s="57">
        <v>39.430543569999998</v>
      </c>
      <c r="B29" s="57">
        <v>3.538113949</v>
      </c>
      <c r="C29" s="70"/>
      <c r="D29" s="68"/>
      <c r="E29" s="69"/>
    </row>
    <row r="30" spans="1:5" ht="13.5" customHeight="1" x14ac:dyDescent="0.2">
      <c r="A30" s="57">
        <v>40.983606559999998</v>
      </c>
      <c r="B30" s="58">
        <v>3.5611001959999999</v>
      </c>
      <c r="C30" s="71">
        <v>6.6111111E-2</v>
      </c>
      <c r="D30" s="72"/>
      <c r="E30" s="69"/>
    </row>
    <row r="31" spans="1:5" ht="13.5" customHeight="1" x14ac:dyDescent="0.2">
      <c r="A31" s="57">
        <v>42.795513370000002</v>
      </c>
      <c r="B31" s="57">
        <v>3.573870334</v>
      </c>
      <c r="C31" s="62"/>
      <c r="D31" s="68"/>
      <c r="E31" s="69"/>
    </row>
    <row r="32" spans="1:5" ht="13.5" customHeight="1" x14ac:dyDescent="0.2">
      <c r="A32" s="57">
        <v>44.866264020000003</v>
      </c>
      <c r="B32" s="57">
        <v>3.594302554</v>
      </c>
      <c r="C32" s="65"/>
      <c r="D32" s="68"/>
      <c r="E32" s="69"/>
    </row>
    <row r="33" spans="1:5" ht="13.5" customHeight="1" x14ac:dyDescent="0.2">
      <c r="A33" s="57">
        <v>47.1958585</v>
      </c>
      <c r="B33" s="57">
        <v>3.619842829</v>
      </c>
      <c r="C33" s="65"/>
      <c r="D33" s="68"/>
      <c r="E33" s="69"/>
    </row>
    <row r="34" spans="1:5" ht="13.5" customHeight="1" x14ac:dyDescent="0.2">
      <c r="A34" s="57">
        <v>49.266609150000001</v>
      </c>
      <c r="B34" s="57">
        <v>3.642829077</v>
      </c>
      <c r="C34" s="65"/>
      <c r="D34" s="68"/>
      <c r="E34" s="69"/>
    </row>
    <row r="35" spans="1:5" ht="13.5" customHeight="1" x14ac:dyDescent="0.2">
      <c r="A35" s="57">
        <v>51.164797239999999</v>
      </c>
      <c r="B35" s="57">
        <v>3.660707269</v>
      </c>
      <c r="C35" s="65"/>
      <c r="D35" s="68"/>
      <c r="E35" s="69"/>
    </row>
    <row r="36" spans="1:5" ht="13.5" customHeight="1" x14ac:dyDescent="0.2">
      <c r="A36" s="57">
        <v>52.976704060000003</v>
      </c>
      <c r="B36" s="57">
        <v>3.673477407</v>
      </c>
      <c r="C36" s="65"/>
      <c r="D36" s="68"/>
      <c r="E36" s="69"/>
    </row>
    <row r="37" spans="1:5" ht="13.5" customHeight="1" x14ac:dyDescent="0.2">
      <c r="A37" s="57">
        <v>54.961173430000002</v>
      </c>
      <c r="B37" s="57">
        <v>3.691355599</v>
      </c>
      <c r="C37" s="65"/>
      <c r="D37" s="68"/>
      <c r="E37" s="69"/>
    </row>
    <row r="38" spans="1:5" ht="13.5" customHeight="1" x14ac:dyDescent="0.2">
      <c r="A38" s="57">
        <v>57.204486629999998</v>
      </c>
      <c r="B38" s="57">
        <v>3.714341847</v>
      </c>
      <c r="C38" s="70"/>
      <c r="D38" s="68"/>
      <c r="E38" s="69"/>
    </row>
    <row r="39" spans="1:5" ht="13.5" customHeight="1" x14ac:dyDescent="0.2">
      <c r="A39" s="57">
        <v>59.102674720000003</v>
      </c>
      <c r="B39" s="58">
        <v>3.732220039</v>
      </c>
      <c r="C39" s="71">
        <v>6.2777778000000006E-2</v>
      </c>
      <c r="D39" s="72"/>
      <c r="E39" s="69"/>
    </row>
    <row r="40" spans="1:5" ht="13.5" customHeight="1" x14ac:dyDescent="0.2">
      <c r="A40" s="57">
        <v>61.000862810000001</v>
      </c>
      <c r="B40" s="57">
        <v>3.742436149</v>
      </c>
      <c r="C40" s="62"/>
      <c r="D40" s="68"/>
      <c r="E40" s="69"/>
    </row>
    <row r="41" spans="1:5" ht="13.5" customHeight="1" x14ac:dyDescent="0.2">
      <c r="A41" s="57">
        <v>63.244176009999997</v>
      </c>
      <c r="B41" s="57">
        <v>3.760314342</v>
      </c>
      <c r="C41" s="65"/>
      <c r="D41" s="68"/>
      <c r="E41" s="69"/>
    </row>
    <row r="42" spans="1:5" ht="13.5" customHeight="1" x14ac:dyDescent="0.2">
      <c r="A42" s="57">
        <v>65.056082829999994</v>
      </c>
      <c r="B42" s="57">
        <v>3.773084479</v>
      </c>
      <c r="C42" s="65"/>
      <c r="D42" s="68"/>
      <c r="E42" s="69"/>
    </row>
    <row r="43" spans="1:5" ht="13.5" customHeight="1" x14ac:dyDescent="0.2">
      <c r="A43" s="57">
        <v>66.867989649999998</v>
      </c>
      <c r="B43" s="57">
        <v>3.785854617</v>
      </c>
      <c r="C43" s="65"/>
      <c r="D43" s="68"/>
      <c r="E43" s="69"/>
    </row>
    <row r="44" spans="1:5" ht="13.5" customHeight="1" x14ac:dyDescent="0.2">
      <c r="A44" s="57">
        <v>68.50733391</v>
      </c>
      <c r="B44" s="57">
        <v>3.803732809</v>
      </c>
      <c r="C44" s="65"/>
      <c r="D44" s="68"/>
      <c r="E44" s="69"/>
    </row>
    <row r="45" spans="1:5" ht="13.5" customHeight="1" x14ac:dyDescent="0.2">
      <c r="A45" s="57">
        <v>70.319240719999996</v>
      </c>
      <c r="B45" s="57">
        <v>3.816502947</v>
      </c>
      <c r="C45" s="65"/>
      <c r="D45" s="68"/>
      <c r="E45" s="69"/>
    </row>
    <row r="46" spans="1:5" ht="13.5" customHeight="1" x14ac:dyDescent="0.2">
      <c r="A46" s="57">
        <v>71.786022430000003</v>
      </c>
      <c r="B46" s="57">
        <v>3.834381139</v>
      </c>
      <c r="C46" s="65"/>
      <c r="D46" s="68"/>
      <c r="E46" s="69"/>
    </row>
    <row r="47" spans="1:5" ht="13.5" customHeight="1" x14ac:dyDescent="0.2">
      <c r="A47" s="57">
        <v>73.339085420000004</v>
      </c>
      <c r="B47" s="57">
        <v>3.8445972500000001</v>
      </c>
      <c r="C47" s="65"/>
      <c r="D47" s="68"/>
      <c r="E47" s="69"/>
    </row>
    <row r="48" spans="1:5" ht="13.5" customHeight="1" x14ac:dyDescent="0.2">
      <c r="A48" s="57">
        <v>74.892148399999996</v>
      </c>
      <c r="B48" s="57">
        <v>3.862475442</v>
      </c>
      <c r="C48" s="65"/>
      <c r="D48" s="68"/>
      <c r="E48" s="69"/>
    </row>
    <row r="49" spans="1:5" ht="13.5" customHeight="1" x14ac:dyDescent="0.2">
      <c r="A49" s="57">
        <v>76.445211389999997</v>
      </c>
      <c r="B49" s="57">
        <v>3.882907662</v>
      </c>
      <c r="C49" s="65"/>
      <c r="D49" s="68"/>
      <c r="E49" s="69"/>
    </row>
    <row r="50" spans="1:5" ht="13.5" customHeight="1" x14ac:dyDescent="0.2">
      <c r="A50" s="57">
        <v>77.998274370000004</v>
      </c>
      <c r="B50" s="57">
        <v>3.903339882</v>
      </c>
      <c r="C50" s="70"/>
      <c r="D50" s="68"/>
      <c r="E50" s="69"/>
    </row>
    <row r="51" spans="1:5" ht="13.5" customHeight="1" x14ac:dyDescent="0.2">
      <c r="A51" s="57">
        <v>79.637618639999999</v>
      </c>
      <c r="B51" s="58">
        <v>3.9161100200000001</v>
      </c>
      <c r="C51" s="71">
        <v>5.8333333000000001E-2</v>
      </c>
      <c r="D51" s="72"/>
      <c r="E51" s="69"/>
    </row>
    <row r="52" spans="1:5" ht="13.5" customHeight="1" x14ac:dyDescent="0.2">
      <c r="A52" s="57">
        <v>81.794650559999994</v>
      </c>
      <c r="B52" s="57">
        <v>3.939096267</v>
      </c>
      <c r="C52" s="62"/>
      <c r="D52" s="68"/>
      <c r="E52" s="69"/>
    </row>
    <row r="53" spans="1:5" ht="13.5" customHeight="1" x14ac:dyDescent="0.2">
      <c r="A53" s="57">
        <v>83.606557379999998</v>
      </c>
      <c r="B53" s="57">
        <v>3.9518664050000001</v>
      </c>
      <c r="C53" s="65"/>
      <c r="D53" s="68"/>
      <c r="E53" s="69"/>
    </row>
    <row r="54" spans="1:5" ht="13.5" customHeight="1" x14ac:dyDescent="0.2">
      <c r="A54" s="57">
        <v>85.418464189999995</v>
      </c>
      <c r="B54" s="57">
        <v>3.964636542</v>
      </c>
      <c r="C54" s="65"/>
      <c r="D54" s="68"/>
      <c r="E54" s="69"/>
    </row>
    <row r="55" spans="1:5" ht="13.5" customHeight="1" x14ac:dyDescent="0.2">
      <c r="A55" s="57">
        <v>87.661777389999997</v>
      </c>
      <c r="B55" s="57">
        <v>3.9722986250000001</v>
      </c>
      <c r="C55" s="65"/>
      <c r="D55" s="68"/>
      <c r="E55" s="69"/>
    </row>
    <row r="56" spans="1:5" ht="13.5" customHeight="1" x14ac:dyDescent="0.2">
      <c r="A56" s="57">
        <v>89.387402929999993</v>
      </c>
      <c r="B56" s="57">
        <v>3.974852652</v>
      </c>
      <c r="C56" s="65"/>
      <c r="D56" s="68"/>
      <c r="E56" s="69"/>
    </row>
    <row r="57" spans="1:5" ht="13.5" customHeight="1" x14ac:dyDescent="0.2">
      <c r="A57" s="57">
        <v>91.113028470000003</v>
      </c>
      <c r="B57" s="57">
        <v>3.979960707</v>
      </c>
      <c r="C57" s="65"/>
      <c r="D57" s="68"/>
      <c r="E57" s="69"/>
    </row>
    <row r="58" spans="1:5" ht="13.5" customHeight="1" x14ac:dyDescent="0.2">
      <c r="A58" s="57">
        <v>92.924935289999993</v>
      </c>
      <c r="B58" s="57">
        <v>3.9927308450000001</v>
      </c>
      <c r="C58" s="65"/>
      <c r="D58" s="68"/>
      <c r="E58" s="69"/>
    </row>
    <row r="59" spans="1:5" ht="13.5" customHeight="1" x14ac:dyDescent="0.2">
      <c r="A59" s="57">
        <v>94.564279549999995</v>
      </c>
      <c r="B59" s="57">
        <v>3.9978389000000001</v>
      </c>
      <c r="C59" s="65"/>
      <c r="D59" s="68"/>
      <c r="E59" s="69"/>
    </row>
    <row r="60" spans="1:5" ht="13.5" customHeight="1" x14ac:dyDescent="0.2">
      <c r="A60" s="57">
        <v>96.289905090000005</v>
      </c>
      <c r="B60" s="57">
        <v>4.0182711199999996</v>
      </c>
      <c r="C60" s="65"/>
      <c r="D60" s="68"/>
      <c r="E60" s="69"/>
    </row>
    <row r="61" spans="1:5" ht="13.5" customHeight="1" x14ac:dyDescent="0.2">
      <c r="A61" s="57">
        <v>97.756686799999997</v>
      </c>
      <c r="B61" s="57">
        <v>4.0335952849999996</v>
      </c>
      <c r="C61" s="70"/>
      <c r="D61" s="68"/>
      <c r="E61" s="69"/>
    </row>
    <row r="62" spans="1:5" ht="13.5" customHeight="1" x14ac:dyDescent="0.2">
      <c r="A62" s="57">
        <v>99.050905950000001</v>
      </c>
      <c r="B62" s="58">
        <v>4.061689587</v>
      </c>
      <c r="C62" s="71">
        <v>5.8333333000000001E-2</v>
      </c>
      <c r="D62" s="60"/>
      <c r="E62" s="61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23"/>
  <sheetViews>
    <sheetView showGridLines="0" tabSelected="1" topLeftCell="A2" zoomScale="109" zoomScaleNormal="109" workbookViewId="0">
      <selection activeCell="H35" sqref="H35"/>
    </sheetView>
  </sheetViews>
  <sheetFormatPr baseColWidth="10" defaultColWidth="16.33203125" defaultRowHeight="15.5" customHeight="1" x14ac:dyDescent="0.2"/>
  <cols>
    <col min="1" max="6" width="16.33203125" style="1" customWidth="1"/>
    <col min="7" max="16384" width="16.33203125" style="1"/>
  </cols>
  <sheetData>
    <row r="1" spans="1:5" ht="13.25" customHeight="1" x14ac:dyDescent="0.2">
      <c r="A1" s="73" t="s">
        <v>6</v>
      </c>
      <c r="B1" s="73" t="s">
        <v>97</v>
      </c>
      <c r="C1" s="73" t="s">
        <v>98</v>
      </c>
      <c r="D1" s="73" t="s">
        <v>99</v>
      </c>
      <c r="E1" s="74"/>
    </row>
    <row r="2" spans="1:5" ht="13.25" customHeight="1" x14ac:dyDescent="0.2">
      <c r="A2" s="75" t="s">
        <v>100</v>
      </c>
      <c r="B2" s="94">
        <v>200</v>
      </c>
      <c r="C2" s="95">
        <v>203.34700000000001</v>
      </c>
      <c r="D2" s="95">
        <v>126.35</v>
      </c>
      <c r="E2" s="76"/>
    </row>
    <row r="3" spans="1:5" ht="13" customHeight="1" x14ac:dyDescent="0.2">
      <c r="A3" s="77" t="s">
        <v>101</v>
      </c>
      <c r="B3" s="96">
        <v>-200</v>
      </c>
      <c r="C3" s="97">
        <v>225</v>
      </c>
      <c r="D3" s="97">
        <v>126.35</v>
      </c>
      <c r="E3" s="76"/>
    </row>
    <row r="4" spans="1:5" ht="13" customHeight="1" x14ac:dyDescent="0.2">
      <c r="A4" s="77" t="s">
        <v>102</v>
      </c>
      <c r="B4" s="96">
        <v>11.981999999999999</v>
      </c>
      <c r="C4" s="97">
        <v>588.50099999999998</v>
      </c>
      <c r="D4" s="97">
        <v>192</v>
      </c>
      <c r="E4" s="76"/>
    </row>
    <row r="5" spans="1:5" ht="13" customHeight="1" x14ac:dyDescent="0.2">
      <c r="A5" s="77" t="s">
        <v>103</v>
      </c>
      <c r="B5" s="96">
        <v>148.751</v>
      </c>
      <c r="C5" s="97">
        <v>207.047</v>
      </c>
      <c r="D5" s="97">
        <v>321.79399999999998</v>
      </c>
      <c r="E5" s="76"/>
    </row>
    <row r="6" spans="1:5" ht="13" customHeight="1" x14ac:dyDescent="0.2">
      <c r="A6" s="77" t="s">
        <v>104</v>
      </c>
      <c r="B6" s="96">
        <v>-184.72900000000001</v>
      </c>
      <c r="C6" s="97">
        <v>225</v>
      </c>
      <c r="D6" s="97">
        <v>300.89400000000001</v>
      </c>
      <c r="E6" s="76"/>
    </row>
    <row r="7" spans="1:5" ht="13" customHeight="1" x14ac:dyDescent="0.2">
      <c r="A7" s="77" t="s">
        <v>105</v>
      </c>
      <c r="B7" s="96">
        <v>-12.087</v>
      </c>
      <c r="C7" s="97">
        <v>521.10299999999995</v>
      </c>
      <c r="D7" s="97">
        <v>422</v>
      </c>
      <c r="E7" s="76"/>
    </row>
    <row r="8" spans="1:5" ht="13" customHeight="1" x14ac:dyDescent="0.2">
      <c r="A8" s="77" t="s">
        <v>106</v>
      </c>
      <c r="B8" s="96">
        <v>0</v>
      </c>
      <c r="C8" s="97">
        <v>640</v>
      </c>
      <c r="D8" s="97">
        <v>255</v>
      </c>
      <c r="E8" s="76"/>
    </row>
    <row r="9" spans="1:5" ht="13" customHeight="1" x14ac:dyDescent="0.2">
      <c r="A9" s="77" t="s">
        <v>107</v>
      </c>
      <c r="B9" s="96">
        <v>0</v>
      </c>
      <c r="C9" s="97">
        <v>640</v>
      </c>
      <c r="D9" s="97">
        <v>255</v>
      </c>
      <c r="E9" s="76"/>
    </row>
    <row r="10" spans="1:5" ht="13" customHeight="1" x14ac:dyDescent="0.2">
      <c r="A10" s="77" t="s">
        <v>108</v>
      </c>
      <c r="B10" s="96">
        <v>104.241</v>
      </c>
      <c r="C10" s="97">
        <v>250</v>
      </c>
      <c r="D10" s="97">
        <v>171.053</v>
      </c>
      <c r="E10" s="76"/>
    </row>
    <row r="11" spans="1:5" ht="13" customHeight="1" x14ac:dyDescent="0.2">
      <c r="A11" s="77" t="s">
        <v>109</v>
      </c>
      <c r="B11" s="96">
        <v>106.239</v>
      </c>
      <c r="C11" s="97">
        <v>576.28</v>
      </c>
      <c r="D11" s="97">
        <v>247</v>
      </c>
      <c r="E11" s="76"/>
    </row>
    <row r="12" spans="1:5" ht="13" customHeight="1" x14ac:dyDescent="0.2">
      <c r="A12" s="77" t="s">
        <v>110</v>
      </c>
      <c r="B12" s="96">
        <v>11.157</v>
      </c>
      <c r="C12" s="97">
        <v>233.131</v>
      </c>
      <c r="D12" s="97">
        <v>517.55100000000004</v>
      </c>
      <c r="E12" s="76"/>
    </row>
    <row r="13" spans="1:5" ht="13" customHeight="1" x14ac:dyDescent="0.2">
      <c r="A13" s="77" t="s">
        <v>111</v>
      </c>
      <c r="B13" s="96">
        <v>11.484999999999999</v>
      </c>
      <c r="C13" s="97">
        <v>317.84199999999998</v>
      </c>
      <c r="D13" s="97">
        <v>362.43</v>
      </c>
      <c r="E13" s="76"/>
    </row>
    <row r="14" spans="1:5" ht="13" customHeight="1" x14ac:dyDescent="0.2">
      <c r="A14" s="77" t="s">
        <v>112</v>
      </c>
      <c r="B14" s="96">
        <v>67.965000000000003</v>
      </c>
      <c r="C14" s="97">
        <v>262.85500000000002</v>
      </c>
      <c r="D14" s="97">
        <v>101.35</v>
      </c>
      <c r="E14" s="76"/>
    </row>
    <row r="15" spans="1:5" ht="13" customHeight="1" x14ac:dyDescent="0.2">
      <c r="A15" s="77" t="s">
        <v>113</v>
      </c>
      <c r="B15" s="96">
        <v>4</v>
      </c>
      <c r="C15" s="97">
        <v>262.84899999999999</v>
      </c>
      <c r="D15" s="97">
        <v>101.51900000000001</v>
      </c>
      <c r="E15" s="76"/>
    </row>
    <row r="16" spans="1:5" ht="13" customHeight="1" x14ac:dyDescent="0.2">
      <c r="A16" s="77" t="s">
        <v>114</v>
      </c>
      <c r="B16" s="96">
        <v>11.526999999999999</v>
      </c>
      <c r="C16" s="97">
        <v>292.24599999999998</v>
      </c>
      <c r="D16" s="97">
        <v>342.81599999999997</v>
      </c>
      <c r="E16" s="76"/>
    </row>
    <row r="17" spans="1:5" ht="13" customHeight="1" x14ac:dyDescent="0.2">
      <c r="A17" s="77" t="s">
        <v>115</v>
      </c>
      <c r="B17" s="96">
        <v>104.241</v>
      </c>
      <c r="C17" s="97">
        <v>0</v>
      </c>
      <c r="D17" s="97">
        <v>171.053</v>
      </c>
      <c r="E17" s="76"/>
    </row>
    <row r="18" spans="1:5" ht="13" customHeight="1" x14ac:dyDescent="0.2">
      <c r="A18" s="77" t="s">
        <v>116</v>
      </c>
      <c r="B18" s="96">
        <v>-324.96499999999997</v>
      </c>
      <c r="C18" s="97">
        <v>0</v>
      </c>
      <c r="D18" s="97">
        <v>533.79200000000003</v>
      </c>
      <c r="E18" s="76"/>
    </row>
    <row r="19" spans="1:5" ht="13" customHeight="1" x14ac:dyDescent="0.2">
      <c r="A19" s="77" t="s">
        <v>117</v>
      </c>
      <c r="B19" s="96">
        <v>104.241</v>
      </c>
      <c r="C19" s="97">
        <v>0</v>
      </c>
      <c r="D19" s="97">
        <v>171.053</v>
      </c>
      <c r="E19" s="76"/>
    </row>
    <row r="20" spans="1:5" ht="13" customHeight="1" x14ac:dyDescent="0.2">
      <c r="A20" s="77" t="s">
        <v>128</v>
      </c>
      <c r="B20" s="96">
        <v>11.489000000000001</v>
      </c>
      <c r="C20" s="97">
        <v>351.53699999999998</v>
      </c>
      <c r="D20" s="97">
        <v>360.94299999999998</v>
      </c>
      <c r="E20" s="76"/>
    </row>
    <row r="21" spans="1:5" ht="13" customHeight="1" x14ac:dyDescent="0.2">
      <c r="A21" s="77" t="s">
        <v>120</v>
      </c>
      <c r="B21" s="96">
        <v>11.917</v>
      </c>
      <c r="C21" s="97">
        <v>547.36</v>
      </c>
      <c r="D21" s="97">
        <v>221.41499999999999</v>
      </c>
      <c r="E21" s="76"/>
    </row>
    <row r="22" spans="1:5" ht="13" customHeight="1" x14ac:dyDescent="0.2">
      <c r="A22" s="77" t="s">
        <v>119</v>
      </c>
      <c r="B22" s="96">
        <v>11.558</v>
      </c>
      <c r="C22" s="97">
        <v>244.43100000000001</v>
      </c>
      <c r="D22" s="97">
        <v>328.19799999999998</v>
      </c>
      <c r="E22" s="80"/>
    </row>
    <row r="23" spans="1:5" ht="15.5" customHeight="1" x14ac:dyDescent="0.2">
      <c r="A23" s="77" t="s">
        <v>118</v>
      </c>
      <c r="B23" s="78">
        <v>20</v>
      </c>
      <c r="C23" s="79">
        <v>0</v>
      </c>
      <c r="D23" s="79">
        <v>534.18100000000004</v>
      </c>
      <c r="E23" s="76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E19"/>
  <sheetViews>
    <sheetView showGridLines="0" topLeftCell="A2" zoomScaleNormal="100" workbookViewId="0">
      <selection activeCell="E42" sqref="E42"/>
    </sheetView>
  </sheetViews>
  <sheetFormatPr baseColWidth="10" defaultColWidth="16.33203125" defaultRowHeight="15.5" customHeight="1" x14ac:dyDescent="0.2"/>
  <cols>
    <col min="1" max="6" width="16.33203125" style="1" customWidth="1"/>
    <col min="7" max="16384" width="16.33203125" style="1"/>
  </cols>
  <sheetData>
    <row r="1" spans="1:5" ht="13.25" customHeight="1" x14ac:dyDescent="0.2">
      <c r="A1" s="73" t="s">
        <v>6</v>
      </c>
      <c r="B1" s="73" t="s">
        <v>97</v>
      </c>
      <c r="C1" s="73" t="s">
        <v>98</v>
      </c>
      <c r="D1" s="73" t="s">
        <v>99</v>
      </c>
      <c r="E1" s="74"/>
    </row>
    <row r="2" spans="1:5" ht="13.25" customHeight="1" x14ac:dyDescent="0.2">
      <c r="A2" s="75" t="s">
        <v>100</v>
      </c>
      <c r="B2" s="94">
        <v>-1390</v>
      </c>
      <c r="C2" s="95">
        <v>305</v>
      </c>
      <c r="D2" s="95">
        <v>126.35</v>
      </c>
      <c r="E2" s="76"/>
    </row>
    <row r="3" spans="1:5" ht="13" customHeight="1" x14ac:dyDescent="0.2">
      <c r="A3" s="77" t="s">
        <v>101</v>
      </c>
      <c r="B3" s="96">
        <v>-1830</v>
      </c>
      <c r="C3" s="97">
        <v>270</v>
      </c>
      <c r="D3" s="97">
        <v>126.35</v>
      </c>
      <c r="E3" s="76"/>
    </row>
    <row r="4" spans="1:5" ht="13" customHeight="1" x14ac:dyDescent="0.2">
      <c r="A4" s="77" t="s">
        <v>102</v>
      </c>
      <c r="B4" s="96">
        <v>-1579.278</v>
      </c>
      <c r="C4" s="97">
        <v>574.49699999999996</v>
      </c>
      <c r="D4" s="97">
        <v>154.5</v>
      </c>
      <c r="E4" s="76"/>
    </row>
    <row r="5" spans="1:5" ht="13" customHeight="1" x14ac:dyDescent="0.2">
      <c r="A5" s="77" t="s">
        <v>103</v>
      </c>
      <c r="B5" s="96">
        <v>-1390</v>
      </c>
      <c r="C5" s="97">
        <v>305</v>
      </c>
      <c r="D5" s="97">
        <v>328.98099999999999</v>
      </c>
      <c r="E5" s="76"/>
    </row>
    <row r="6" spans="1:5" ht="13" customHeight="1" x14ac:dyDescent="0.2">
      <c r="A6" s="77" t="s">
        <v>104</v>
      </c>
      <c r="B6" s="96">
        <v>-1830</v>
      </c>
      <c r="C6" s="97">
        <v>270</v>
      </c>
      <c r="D6" s="97">
        <v>354.47500000000002</v>
      </c>
      <c r="E6" s="76"/>
    </row>
    <row r="7" spans="1:5" ht="13" customHeight="1" x14ac:dyDescent="0.2">
      <c r="A7" s="77" t="s">
        <v>105</v>
      </c>
      <c r="B7" s="96">
        <v>-1570.7049999999999</v>
      </c>
      <c r="C7" s="97">
        <v>508.71499999999997</v>
      </c>
      <c r="D7" s="97">
        <v>400</v>
      </c>
      <c r="E7" s="76"/>
    </row>
    <row r="8" spans="1:5" ht="13" customHeight="1" x14ac:dyDescent="0.2">
      <c r="A8" s="77" t="s">
        <v>106</v>
      </c>
      <c r="B8" s="96">
        <v>-1575</v>
      </c>
      <c r="C8" s="97">
        <v>625</v>
      </c>
      <c r="D8" s="97">
        <v>255</v>
      </c>
      <c r="E8" s="76"/>
    </row>
    <row r="9" spans="1:5" ht="13" customHeight="1" x14ac:dyDescent="0.2">
      <c r="A9" s="77" t="s">
        <v>107</v>
      </c>
      <c r="B9" s="96">
        <v>-1575</v>
      </c>
      <c r="C9" s="97">
        <v>625</v>
      </c>
      <c r="D9" s="97">
        <v>255</v>
      </c>
      <c r="E9" s="76"/>
    </row>
    <row r="10" spans="1:5" ht="13" customHeight="1" x14ac:dyDescent="0.2">
      <c r="A10" s="77" t="s">
        <v>108</v>
      </c>
      <c r="B10" s="96">
        <v>-1830</v>
      </c>
      <c r="C10" s="97">
        <v>270</v>
      </c>
      <c r="D10" s="97">
        <v>193.642</v>
      </c>
      <c r="E10" s="76"/>
    </row>
    <row r="11" spans="1:5" ht="13" customHeight="1" x14ac:dyDescent="0.2">
      <c r="A11" s="77" t="s">
        <v>109</v>
      </c>
      <c r="B11" s="96">
        <v>-1676.222</v>
      </c>
      <c r="C11" s="97">
        <v>578</v>
      </c>
      <c r="D11" s="97">
        <v>243</v>
      </c>
      <c r="E11" s="76"/>
    </row>
    <row r="12" spans="1:5" ht="13" customHeight="1" x14ac:dyDescent="0.2">
      <c r="A12" s="77" t="s">
        <v>110</v>
      </c>
      <c r="B12" s="96">
        <v>-1395.9760000000001</v>
      </c>
      <c r="C12" s="97">
        <v>283.399</v>
      </c>
      <c r="D12" s="97">
        <v>436.10300000000001</v>
      </c>
      <c r="E12" s="76"/>
    </row>
    <row r="13" spans="1:5" ht="13" customHeight="1" x14ac:dyDescent="0.2">
      <c r="A13" s="77" t="s">
        <v>111</v>
      </c>
      <c r="B13" s="96">
        <v>-1579.1110000000001</v>
      </c>
      <c r="C13" s="97">
        <v>267.07299999999998</v>
      </c>
      <c r="D13" s="97">
        <v>484.01</v>
      </c>
      <c r="E13" s="76"/>
    </row>
    <row r="14" spans="1:5" ht="13" customHeight="1" x14ac:dyDescent="0.2">
      <c r="A14" s="77" t="s">
        <v>112</v>
      </c>
      <c r="B14" s="96">
        <v>-1830</v>
      </c>
      <c r="C14" s="97">
        <v>305</v>
      </c>
      <c r="D14" s="97">
        <v>401.35</v>
      </c>
      <c r="E14" s="76"/>
    </row>
    <row r="15" spans="1:5" ht="13" customHeight="1" x14ac:dyDescent="0.2">
      <c r="A15" s="77" t="s">
        <v>113</v>
      </c>
      <c r="B15" s="96">
        <v>-1830</v>
      </c>
      <c r="C15" s="97">
        <v>305</v>
      </c>
      <c r="D15" s="97">
        <v>465.35</v>
      </c>
      <c r="E15" s="76"/>
    </row>
    <row r="16" spans="1:5" ht="13" customHeight="1" x14ac:dyDescent="0.2">
      <c r="A16" s="77" t="s">
        <v>114</v>
      </c>
      <c r="B16" s="96">
        <v>-1600.4860000000001</v>
      </c>
      <c r="C16" s="97">
        <v>287.56599999999997</v>
      </c>
      <c r="D16" s="97">
        <v>463.988</v>
      </c>
      <c r="E16" s="76"/>
    </row>
    <row r="17" spans="1:5" ht="13" customHeight="1" x14ac:dyDescent="0.2">
      <c r="A17" s="77" t="s">
        <v>128</v>
      </c>
      <c r="B17" s="96">
        <v>-1664.6120000000001</v>
      </c>
      <c r="C17" s="97">
        <v>349.04700000000003</v>
      </c>
      <c r="D17" s="97">
        <v>403.92399999999998</v>
      </c>
      <c r="E17" s="76"/>
    </row>
    <row r="18" spans="1:5" ht="13" customHeight="1" x14ac:dyDescent="0.2">
      <c r="A18" s="77" t="s">
        <v>120</v>
      </c>
      <c r="B18" s="96">
        <v>-1597.298</v>
      </c>
      <c r="C18" s="97">
        <v>527.85900000000004</v>
      </c>
      <c r="D18" s="97">
        <v>174.50399999999999</v>
      </c>
      <c r="E18" s="76"/>
    </row>
    <row r="19" spans="1:5" ht="13" customHeight="1" x14ac:dyDescent="0.2">
      <c r="A19" s="77" t="s">
        <v>119</v>
      </c>
      <c r="B19" s="96">
        <v>-1585.771</v>
      </c>
      <c r="C19" s="97">
        <v>318.42700000000002</v>
      </c>
      <c r="D19" s="97">
        <v>426.35</v>
      </c>
      <c r="E19" s="80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E10"/>
  <sheetViews>
    <sheetView showGridLines="0" workbookViewId="0"/>
  </sheetViews>
  <sheetFormatPr baseColWidth="10" defaultColWidth="16.33203125" defaultRowHeight="15.5" customHeight="1" x14ac:dyDescent="0.2"/>
  <cols>
    <col min="1" max="1" width="13.33203125" style="1" customWidth="1"/>
    <col min="2" max="6" width="16.33203125" style="1" customWidth="1"/>
    <col min="7" max="16384" width="16.33203125" style="1"/>
  </cols>
  <sheetData>
    <row r="1" spans="1:5" ht="13.25" customHeight="1" x14ac:dyDescent="0.2">
      <c r="A1" s="81" t="s">
        <v>121</v>
      </c>
      <c r="B1" s="81" t="s">
        <v>122</v>
      </c>
      <c r="C1" s="81" t="s">
        <v>123</v>
      </c>
      <c r="D1" s="82"/>
      <c r="E1" s="67"/>
    </row>
    <row r="2" spans="1:5" ht="13.25" customHeight="1" x14ac:dyDescent="0.2">
      <c r="A2" s="83" t="s">
        <v>124</v>
      </c>
      <c r="B2" s="84">
        <v>52538.050499999998</v>
      </c>
      <c r="C2" s="85">
        <v>43781.708749999998</v>
      </c>
      <c r="D2" s="72"/>
      <c r="E2" s="69"/>
    </row>
    <row r="3" spans="1:5" ht="13" customHeight="1" x14ac:dyDescent="0.2">
      <c r="A3" s="86" t="s">
        <v>125</v>
      </c>
      <c r="B3" s="87">
        <v>0.01</v>
      </c>
      <c r="C3" s="88">
        <v>0.01</v>
      </c>
      <c r="D3" s="72"/>
      <c r="E3" s="69"/>
    </row>
    <row r="4" spans="1:5" ht="13" customHeight="1" x14ac:dyDescent="0.2">
      <c r="A4" s="86" t="s">
        <v>126</v>
      </c>
      <c r="B4" s="87">
        <v>250000</v>
      </c>
      <c r="C4" s="88">
        <v>250000</v>
      </c>
      <c r="D4" s="72"/>
      <c r="E4" s="69"/>
    </row>
    <row r="5" spans="1:5" ht="13" customHeight="1" x14ac:dyDescent="0.2">
      <c r="A5" s="86" t="s">
        <v>127</v>
      </c>
      <c r="B5" s="89">
        <v>81.933000000000007</v>
      </c>
      <c r="C5" s="90">
        <v>61.879399999999997</v>
      </c>
      <c r="D5" s="72"/>
      <c r="E5" s="69"/>
    </row>
    <row r="6" spans="1:5" ht="13.5" customHeight="1" x14ac:dyDescent="0.2">
      <c r="A6" s="62"/>
      <c r="B6" s="91"/>
      <c r="C6" s="91"/>
      <c r="D6" s="68"/>
      <c r="E6" s="69"/>
    </row>
    <row r="7" spans="1:5" ht="13.5" customHeight="1" x14ac:dyDescent="0.2">
      <c r="A7" s="65"/>
      <c r="B7" s="68"/>
      <c r="C7" s="68"/>
      <c r="D7" s="68"/>
      <c r="E7" s="69"/>
    </row>
    <row r="8" spans="1:5" ht="13.5" customHeight="1" x14ac:dyDescent="0.2">
      <c r="A8" s="65"/>
      <c r="B8" s="68"/>
      <c r="C8" s="68"/>
      <c r="D8" s="68"/>
      <c r="E8" s="69"/>
    </row>
    <row r="9" spans="1:5" ht="13.5" customHeight="1" x14ac:dyDescent="0.2">
      <c r="A9" s="65"/>
      <c r="B9" s="68"/>
      <c r="C9" s="68"/>
      <c r="D9" s="68"/>
      <c r="E9" s="69"/>
    </row>
    <row r="10" spans="1:5" ht="13.5" customHeight="1" x14ac:dyDescent="0.2">
      <c r="A10" s="92"/>
      <c r="B10" s="93"/>
      <c r="C10" s="93"/>
      <c r="D10" s="93"/>
      <c r="E10" s="61"/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Info</vt:lpstr>
      <vt:lpstr>Motor</vt:lpstr>
      <vt:lpstr>BatteryOC</vt:lpstr>
      <vt:lpstr>HardpointsFr</vt:lpstr>
      <vt:lpstr>HardpointsRr</vt:lpstr>
      <vt:lpstr>Suspension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Andrei Dragos Ganea</cp:lastModifiedBy>
  <dcterms:modified xsi:type="dcterms:W3CDTF">2025-12-28T21:48:01Z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2025-10-30T07:49:39Z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73a22891-b0dd-4490-9f5f-7dc8f475ea38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50, 3, 0, 1</vt:lpwstr>
  </property>
</Properties>
</file>