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fo" sheetId="1" r:id="rId5"/>
    <sheet name="Motor" sheetId="2" r:id="rId6"/>
    <sheet name="BatteryOC" sheetId="3" r:id="rId7"/>
    <sheet name="HardpointsFr" sheetId="4" r:id="rId8"/>
    <sheet name="HardpointsRr" sheetId="5" r:id="rId9"/>
    <sheet name="Suspension" sheetId="6" r:id="rId10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<sst xmlns="http://schemas.openxmlformats.org/spreadsheetml/2006/main" uniqueCount="129">
  <si>
    <t>Category</t>
  </si>
  <si>
    <t>Description</t>
  </si>
  <si>
    <t>Value</t>
  </si>
  <si>
    <t>Unit</t>
  </si>
  <si>
    <t>Comment</t>
  </si>
  <si>
    <t>General</t>
  </si>
  <si>
    <t>Name</t>
  </si>
  <si>
    <t>ARTTU</t>
  </si>
  <si>
    <t>-</t>
  </si>
  <si>
    <t>Type</t>
  </si>
  <si>
    <t>Open Wheel</t>
  </si>
  <si>
    <t>Inertia</t>
  </si>
  <si>
    <t>Total Mass</t>
  </si>
  <si>
    <t>kg</t>
  </si>
  <si>
    <t>Front Mass Distribution</t>
  </si>
  <si>
    <t>%</t>
  </si>
  <si>
    <t>Dimensions</t>
  </si>
  <si>
    <t>Wheelbase</t>
  </si>
  <si>
    <t>mm</t>
  </si>
  <si>
    <t>Steering</t>
  </si>
  <si>
    <t>Steering Rack Ratio</t>
  </si>
  <si>
    <t>[Steering Wheel Angle]/[Wheel Angle]</t>
  </si>
  <si>
    <t>Aerodynamics</t>
  </si>
  <si>
    <t>Lift Coefficient CL</t>
  </si>
  <si>
    <t>Positive = Lift / Negative = Downforce</t>
  </si>
  <si>
    <t>Drag Coefficient CD</t>
  </si>
  <si>
    <t>Should be negative</t>
  </si>
  <si>
    <t>CL Scale Multiplier</t>
  </si>
  <si>
    <t>CD Scale Multiplier</t>
  </si>
  <si>
    <t>Front Aero Distribution</t>
  </si>
  <si>
    <t>Frontal Area</t>
  </si>
  <si>
    <t>m2</t>
  </si>
  <si>
    <t>Air Density</t>
  </si>
  <si>
    <t>kg/m3</t>
  </si>
  <si>
    <t>Recommended value:  1,225</t>
  </si>
  <si>
    <t>Brakes</t>
  </si>
  <si>
    <t>Disc Outer Diameter</t>
  </si>
  <si>
    <t>Assumed to be the same on all corners,</t>
  </si>
  <si>
    <t>Pad Height</t>
  </si>
  <si>
    <t>Pad Friction Coefficient</t>
  </si>
  <si>
    <t>Assumed to be the same on all pads, Recommended value: 0,45</t>
  </si>
  <si>
    <t>Caliper Number of Pistons</t>
  </si>
  <si>
    <t>Caliper Piston Diameter</t>
  </si>
  <si>
    <t>Master Cylinder Piston Diameter</t>
  </si>
  <si>
    <t>Assumed to be the same both front and rear,</t>
  </si>
  <si>
    <t>Pedal Ratio</t>
  </si>
  <si>
    <t>[Foot Force Application Point Lever Arm]/[Master Cylinder Lever Arm]</t>
  </si>
  <si>
    <t>Tyres</t>
  </si>
  <si>
    <t>Grip Factor Multiplier</t>
  </si>
  <si>
    <t>Tyre Radius</t>
  </si>
  <si>
    <t>Assumed to be the same on all tyres,</t>
  </si>
  <si>
    <t>Rolling Resistance</t>
  </si>
  <si>
    <t>Assumed to be the same on all tyres, Needs to be negative, Recommended value: -0,001</t>
  </si>
  <si>
    <t>Longitudinal Friction Coefficient</t>
  </si>
  <si>
    <t>Assumed to be the same on all tyres, Slick tyres: 1,8, Street tyres: 0,9-1,2</t>
  </si>
  <si>
    <t>Longitudinal Friction Load Rating</t>
  </si>
  <si>
    <t>Assumed to be the same on all tyres, Recommended value: M/4</t>
  </si>
  <si>
    <t>Longitudinal Friction Sensitivity</t>
  </si>
  <si>
    <t>1/N</t>
  </si>
  <si>
    <t>Assumed to be the same on all tyres, Should be positive, Recommended value:  0,0001</t>
  </si>
  <si>
    <t>Lateral Friction Coefficient</t>
  </si>
  <si>
    <t>Assumed to be the same on all tyres, ~0,8*Longitudinal</t>
  </si>
  <si>
    <t>Lateral Friction Load Rating</t>
  </si>
  <si>
    <t>Lateral Friction Sensitivity</t>
  </si>
  <si>
    <t>Front Cornering Stiffness</t>
  </si>
  <si>
    <t>N/deg</t>
  </si>
  <si>
    <t>Recommended value:  800-1000</t>
  </si>
  <si>
    <t>Rear Cornering Stiffness</t>
  </si>
  <si>
    <t>Transmission</t>
  </si>
  <si>
    <t>Drive Type</t>
  </si>
  <si>
    <t>RWD</t>
  </si>
  <si>
    <t>Gear Shift Time</t>
  </si>
  <si>
    <t>s</t>
  </si>
  <si>
    <t>Only used in dragster mode</t>
  </si>
  <si>
    <t>Primary Gear Efficiency</t>
  </si>
  <si>
    <t>Recommended value:  0,98 for spur/helical gears</t>
  </si>
  <si>
    <t>Final Gear Efficiency</t>
  </si>
  <si>
    <t>Recommended value:  0,90 for bevel gears</t>
  </si>
  <si>
    <t>Gearbox Efficiency</t>
  </si>
  <si>
    <t>Primary Gear Reduction</t>
  </si>
  <si>
    <t>From crancskaft to Input shaft,</t>
  </si>
  <si>
    <t>Final Gear Reduction</t>
  </si>
  <si>
    <t>1st Gear Ratio</t>
  </si>
  <si>
    <t xml:space="preserve"> Battery</t>
  </si>
  <si>
    <t>Thermic Ressistance</t>
  </si>
  <si>
    <t>K/W</t>
  </si>
  <si>
    <t>Thermic Capacity</t>
  </si>
  <si>
    <t>J/K</t>
  </si>
  <si>
    <t>Nominal Capacity</t>
  </si>
  <si>
    <t>Ah</t>
  </si>
  <si>
    <t>serial connections</t>
  </si>
  <si>
    <t>paralel connections</t>
  </si>
  <si>
    <t>Engine Speed [rpm]</t>
  </si>
  <si>
    <t>Torque [Nm]</t>
  </si>
  <si>
    <t>SoC</t>
  </si>
  <si>
    <t>V</t>
  </si>
  <si>
    <t>R</t>
  </si>
  <si>
    <t>X</t>
  </si>
  <si>
    <t>Y</t>
  </si>
  <si>
    <t>Z</t>
  </si>
  <si>
    <t>lcaF</t>
  </si>
  <si>
    <t>lcaR</t>
  </si>
  <si>
    <t>lcaO</t>
  </si>
  <si>
    <t>ucaF</t>
  </si>
  <si>
    <t>ucaR</t>
  </si>
  <si>
    <t>ucaO</t>
  </si>
  <si>
    <t>uprightCG</t>
  </si>
  <si>
    <t>wheelCenter</t>
  </si>
  <si>
    <t>trackrodI</t>
  </si>
  <si>
    <t>trackrodO</t>
  </si>
  <si>
    <t>shockT</t>
  </si>
  <si>
    <t>shockB</t>
  </si>
  <si>
    <t>arbI</t>
  </si>
  <si>
    <t>arbO</t>
  </si>
  <si>
    <t>arbSus</t>
  </si>
  <si>
    <t>steerRack</t>
  </si>
  <si>
    <t>steerWheel</t>
  </si>
  <si>
    <t>steerPinion</t>
  </si>
  <si>
    <t>upperCol</t>
  </si>
  <si>
    <t>BCpivot</t>
  </si>
  <si>
    <t>PushrodOut</t>
  </si>
  <si>
    <t>BCrod</t>
  </si>
  <si>
    <t>Names</t>
  </si>
  <si>
    <t>Front</t>
  </si>
  <si>
    <t>Rear</t>
  </si>
  <si>
    <t>Rate</t>
  </si>
  <si>
    <t>Preload</t>
  </si>
  <si>
    <t>Damping</t>
  </si>
  <si>
    <t>Stiffness</t>
  </si>
</sst>
</file>

<file path=xl/styles.xml><?xml version="1.0" encoding="utf-8"?>
<styleSheet xmlns="http://schemas.openxmlformats.org/spreadsheetml/2006/main">
  <numFmts count="6">
    <numFmt numFmtId="0" formatCode="General"/>
    <numFmt numFmtId="59" formatCode="0.0000000000000"/>
    <numFmt numFmtId="60" formatCode="0.000000000000"/>
    <numFmt numFmtId="61" formatCode="0.00000000000000"/>
    <numFmt numFmtId="62" formatCode="0.000"/>
    <numFmt numFmtId="63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Calibri"/>
    </font>
    <font>
      <b val="1"/>
      <sz val="11"/>
      <color indexed="8"/>
      <name val="Calibri"/>
    </font>
    <font>
      <sz val="18"/>
      <color indexed="8"/>
      <name val="Helvetica Neue"/>
    </font>
  </fonts>
  <fills count="9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0"/>
        <bgColor auto="1"/>
      </patternFill>
    </fill>
  </fills>
  <borders count="5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4"/>
      </left>
      <right style="thin">
        <color indexed="11"/>
      </right>
      <top style="thin">
        <color indexed="14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8"/>
      </bottom>
      <diagonal/>
    </border>
    <border>
      <left/>
      <right/>
      <top style="thin">
        <color indexed="14"/>
      </top>
      <bottom/>
      <diagonal/>
    </border>
    <border>
      <left/>
      <right style="thin">
        <color indexed="14"/>
      </right>
      <top style="thin">
        <color indexed="14"/>
      </top>
      <bottom/>
      <diagonal/>
    </border>
    <border>
      <left style="thin">
        <color indexed="14"/>
      </left>
      <right style="thin">
        <color indexed="19"/>
      </right>
      <top style="thin">
        <color indexed="14"/>
      </top>
      <bottom style="thin">
        <color indexed="14"/>
      </bottom>
      <diagonal/>
    </border>
    <border>
      <left style="thin">
        <color indexed="19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/>
      <top/>
      <bottom style="thin">
        <color indexed="14"/>
      </bottom>
      <diagonal/>
    </border>
    <border>
      <left/>
      <right style="thin">
        <color indexed="14"/>
      </right>
      <top/>
      <bottom style="thin">
        <color indexed="14"/>
      </bottom>
      <diagonal/>
    </border>
    <border>
      <left style="thin">
        <color indexed="14"/>
      </left>
      <right/>
      <top style="thin">
        <color indexed="19"/>
      </top>
      <bottom/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/>
      <bottom/>
      <diagonal/>
    </border>
    <border>
      <left/>
      <right/>
      <top/>
      <bottom/>
      <diagonal/>
    </border>
    <border>
      <left/>
      <right style="thin">
        <color indexed="14"/>
      </right>
      <top/>
      <bottom/>
      <diagonal/>
    </border>
    <border>
      <left style="thin">
        <color indexed="14"/>
      </left>
      <right/>
      <top/>
      <bottom style="thin">
        <color indexed="19"/>
      </bottom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/>
      <top/>
      <bottom/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8"/>
      </bottom>
      <diagonal/>
    </border>
    <border>
      <left style="thin">
        <color indexed="19"/>
      </left>
      <right style="thin">
        <color indexed="14"/>
      </right>
      <top style="thin">
        <color indexed="14"/>
      </top>
      <bottom/>
      <diagonal/>
    </border>
    <border>
      <left style="thin">
        <color indexed="19"/>
      </left>
      <right style="thin">
        <color indexed="18"/>
      </right>
      <top style="thin">
        <color indexed="18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/>
      <diagonal/>
    </border>
    <border>
      <left style="thin">
        <color indexed="19"/>
      </left>
      <right style="thin">
        <color indexed="18"/>
      </right>
      <top style="thin">
        <color indexed="19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 style="thin">
        <color indexed="14"/>
      </bottom>
      <diagonal/>
    </border>
    <border>
      <left style="thin">
        <color indexed="19"/>
      </left>
      <right/>
      <top style="thin">
        <color indexed="14"/>
      </top>
      <bottom/>
      <diagonal/>
    </border>
    <border>
      <left/>
      <right/>
      <top style="thin">
        <color indexed="19"/>
      </top>
      <bottom/>
      <diagonal/>
    </border>
    <border>
      <left style="thin">
        <color indexed="14"/>
      </left>
      <right/>
      <top/>
      <bottom style="thin">
        <color indexed="14"/>
      </bottom>
      <diagonal/>
    </border>
    <border>
      <left/>
      <right/>
      <top/>
      <bottom style="thin">
        <color indexed="14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0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49" fontId="3" fillId="2" borderId="2" applyNumberFormat="1" applyFont="1" applyFill="1" applyBorder="1" applyAlignment="1" applyProtection="0">
      <alignment horizontal="left" vertical="center"/>
    </xf>
    <xf numFmtId="49" fontId="3" fillId="2" borderId="2" applyNumberFormat="1" applyFont="1" applyFill="1" applyBorder="1" applyAlignment="1" applyProtection="0">
      <alignment horizontal="center" vertical="bottom"/>
    </xf>
    <xf numFmtId="49" fontId="3" fillId="2" borderId="3" applyNumberFormat="1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horizontal="left" vertical="center"/>
    </xf>
    <xf numFmtId="49" fontId="0" fillId="4" borderId="5" applyNumberFormat="1" applyFont="1" applyFill="1" applyBorder="1" applyAlignment="1" applyProtection="0">
      <alignment horizontal="left" vertical="center"/>
    </xf>
    <xf numFmtId="49" fontId="0" fillId="5" borderId="5" applyNumberFormat="1" applyFont="1" applyFill="1" applyBorder="1" applyAlignment="1" applyProtection="0">
      <alignment vertical="bottom"/>
    </xf>
    <xf numFmtId="49" fontId="0" fillId="4" borderId="5" applyNumberFormat="1" applyFont="1" applyFill="1" applyBorder="1" applyAlignment="1" applyProtection="0">
      <alignment vertical="bottom"/>
    </xf>
    <xf numFmtId="0" fontId="0" fillId="4" borderId="6" applyNumberFormat="0" applyFont="1" applyFill="1" applyBorder="1" applyAlignment="1" applyProtection="0">
      <alignment vertical="bottom"/>
    </xf>
    <xf numFmtId="0" fontId="4" fillId="3" borderId="7" applyNumberFormat="0" applyFont="1" applyFill="1" applyBorder="1" applyAlignment="1" applyProtection="0">
      <alignment horizontal="left" vertical="center"/>
    </xf>
    <xf numFmtId="49" fontId="0" fillId="4" borderId="8" applyNumberFormat="1" applyFont="1" applyFill="1" applyBorder="1" applyAlignment="1" applyProtection="0">
      <alignment horizontal="left" vertical="center"/>
    </xf>
    <xf numFmtId="49" fontId="0" fillId="5" borderId="8" applyNumberFormat="1" applyFont="1" applyFill="1" applyBorder="1" applyAlignment="1" applyProtection="0">
      <alignment vertical="bottom"/>
    </xf>
    <xf numFmtId="49" fontId="0" fillId="4" borderId="8" applyNumberFormat="1" applyFont="1" applyFill="1" applyBorder="1" applyAlignment="1" applyProtection="0">
      <alignment vertical="bottom"/>
    </xf>
    <xf numFmtId="0" fontId="0" fillId="4" borderId="9" applyNumberFormat="0" applyFont="1" applyFill="1" applyBorder="1" applyAlignment="1" applyProtection="0">
      <alignment vertical="bottom"/>
    </xf>
    <xf numFmtId="0" fontId="0" fillId="5" borderId="5" applyNumberFormat="1" applyFont="1" applyFill="1" applyBorder="1" applyAlignment="1" applyProtection="0">
      <alignment vertical="bottom"/>
    </xf>
    <xf numFmtId="0" fontId="0" fillId="5" borderId="8" applyNumberFormat="1" applyFont="1" applyFill="1" applyBorder="1" applyAlignment="1" applyProtection="0">
      <alignment vertical="bottom"/>
    </xf>
    <xf numFmtId="49" fontId="4" fillId="3" borderId="1" applyNumberFormat="1" applyFont="1" applyFill="1" applyBorder="1" applyAlignment="1" applyProtection="0">
      <alignment horizontal="left" vertical="center"/>
    </xf>
    <xf numFmtId="49" fontId="0" fillId="4" borderId="2" applyNumberFormat="1" applyFont="1" applyFill="1" applyBorder="1" applyAlignment="1" applyProtection="0">
      <alignment horizontal="left" vertical="center"/>
    </xf>
    <xf numFmtId="0" fontId="0" fillId="5" borderId="2" applyNumberFormat="1" applyFont="1" applyFill="1" applyBorder="1" applyAlignment="1" applyProtection="0">
      <alignment vertical="bottom"/>
    </xf>
    <xf numFmtId="49" fontId="0" fillId="4" borderId="2" applyNumberFormat="1" applyFont="1" applyFill="1" applyBorder="1" applyAlignment="1" applyProtection="0">
      <alignment vertical="bottom"/>
    </xf>
    <xf numFmtId="0" fontId="0" fillId="4" borderId="3" applyNumberFormat="0" applyFont="1" applyFill="1" applyBorder="1" applyAlignment="1" applyProtection="0">
      <alignment vertical="bottom"/>
    </xf>
    <xf numFmtId="49" fontId="0" fillId="4" borderId="3" applyNumberFormat="1" applyFont="1" applyFill="1" applyBorder="1" applyAlignment="1" applyProtection="0">
      <alignment vertical="bottom"/>
    </xf>
    <xf numFmtId="49" fontId="0" fillId="4" borderId="6" applyNumberFormat="1" applyFont="1" applyFill="1" applyBorder="1" applyAlignment="1" applyProtection="0">
      <alignment vertical="bottom"/>
    </xf>
    <xf numFmtId="0" fontId="4" fillId="3" borderId="10" applyNumberFormat="0" applyFont="1" applyFill="1" applyBorder="1" applyAlignment="1" applyProtection="0">
      <alignment horizontal="left" vertical="center"/>
    </xf>
    <xf numFmtId="49" fontId="0" fillId="4" borderId="11" applyNumberFormat="1" applyFont="1" applyFill="1" applyBorder="1" applyAlignment="1" applyProtection="0">
      <alignment horizontal="left" vertical="center"/>
    </xf>
    <xf numFmtId="0" fontId="0" fillId="5" borderId="11" applyNumberFormat="1" applyFont="1" applyFill="1" applyBorder="1" applyAlignment="1" applyProtection="0">
      <alignment vertical="bottom"/>
    </xf>
    <xf numFmtId="49" fontId="0" fillId="4" borderId="11" applyNumberFormat="1" applyFont="1" applyFill="1" applyBorder="1" applyAlignment="1" applyProtection="0">
      <alignment vertical="bottom"/>
    </xf>
    <xf numFmtId="49" fontId="0" fillId="4" borderId="12" applyNumberFormat="1" applyFont="1" applyFill="1" applyBorder="1" applyAlignment="1" applyProtection="0">
      <alignment vertical="bottom"/>
    </xf>
    <xf numFmtId="0" fontId="0" fillId="4" borderId="12" applyNumberFormat="0" applyFont="1" applyFill="1" applyBorder="1" applyAlignment="1" applyProtection="0">
      <alignment vertical="bottom"/>
    </xf>
    <xf numFmtId="49" fontId="0" fillId="4" borderId="9" applyNumberFormat="1" applyFont="1" applyFill="1" applyBorder="1" applyAlignment="1" applyProtection="0">
      <alignment vertical="bottom"/>
    </xf>
    <xf numFmtId="49" fontId="4" fillId="3" borderId="13" applyNumberFormat="1" applyFont="1" applyFill="1" applyBorder="1" applyAlignment="1" applyProtection="0">
      <alignment horizontal="center" vertical="center"/>
    </xf>
    <xf numFmtId="0" fontId="4" fillId="3" borderId="14" applyNumberFormat="0" applyFont="1" applyFill="1" applyBorder="1" applyAlignment="1" applyProtection="0">
      <alignment horizontal="center" vertical="center"/>
    </xf>
    <xf numFmtId="0" fontId="4" fillId="3" borderId="15" applyNumberFormat="0" applyFont="1" applyFill="1" applyBorder="1" applyAlignment="1" applyProtection="0">
      <alignment horizontal="center" vertical="center"/>
    </xf>
    <xf numFmtId="49" fontId="0" fillId="4" borderId="8" applyNumberFormat="1" applyFont="1" applyFill="1" applyBorder="1" applyAlignment="1" applyProtection="0">
      <alignment vertical="center"/>
    </xf>
    <xf numFmtId="49" fontId="4" fillId="3" borderId="13" applyNumberFormat="1" applyFont="1" applyFill="1" applyBorder="1" applyAlignment="1" applyProtection="0">
      <alignment vertical="center"/>
    </xf>
    <xf numFmtId="49" fontId="0" fillId="4" borderId="5" applyNumberFormat="1" applyFont="1" applyFill="1" applyBorder="1" applyAlignment="1" applyProtection="0">
      <alignment vertical="center"/>
    </xf>
    <xf numFmtId="0" fontId="4" fillId="3" borderId="14" applyNumberFormat="0" applyFont="1" applyFill="1" applyBorder="1" applyAlignment="1" applyProtection="0">
      <alignment vertical="center"/>
    </xf>
    <xf numFmtId="49" fontId="0" fillId="4" borderId="11" applyNumberFormat="1" applyFont="1" applyFill="1" applyBorder="1" applyAlignment="1" applyProtection="0">
      <alignment vertical="center"/>
    </xf>
    <xf numFmtId="0" fontId="0" fillId="4" borderId="11" applyNumberFormat="0" applyFont="1" applyFill="1" applyBorder="1" applyAlignment="1" applyProtection="0">
      <alignment vertical="center"/>
    </xf>
    <xf numFmtId="0" fontId="0" fillId="5" borderId="11" applyNumberFormat="0" applyFont="1" applyFill="1" applyBorder="1" applyAlignment="1" applyProtection="0">
      <alignment vertical="bottom"/>
    </xf>
    <xf numFmtId="0" fontId="0" fillId="4" borderId="11" applyNumberFormat="0" applyFont="1" applyFill="1" applyBorder="1" applyAlignment="1" applyProtection="0">
      <alignment vertical="bottom"/>
    </xf>
    <xf numFmtId="0" fontId="4" fillId="3" borderId="15" applyNumberFormat="0" applyFont="1" applyFill="1" applyBorder="1" applyAlignment="1" applyProtection="0">
      <alignment vertical="center"/>
    </xf>
    <xf numFmtId="0" fontId="0" fillId="4" borderId="8" applyNumberFormat="0" applyFont="1" applyFill="1" applyBorder="1" applyAlignment="1" applyProtection="0">
      <alignment vertical="center"/>
    </xf>
    <xf numFmtId="0" fontId="0" fillId="5" borderId="8" applyNumberFormat="0" applyFont="1" applyFill="1" applyBorder="1" applyAlignment="1" applyProtection="0">
      <alignment vertical="bottom"/>
    </xf>
    <xf numFmtId="0" fontId="0" fillId="4" borderId="8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6" borderId="16" applyNumberFormat="0" applyFont="1" applyFill="1" applyBorder="1" applyAlignment="1" applyProtection="0">
      <alignment vertical="bottom"/>
    </xf>
    <xf numFmtId="49" fontId="3" fillId="2" borderId="17" applyNumberFormat="1" applyFont="1" applyFill="1" applyBorder="1" applyAlignment="1" applyProtection="0">
      <alignment vertical="bottom"/>
    </xf>
    <xf numFmtId="49" fontId="3" fillId="2" borderId="18" applyNumberFormat="1" applyFont="1" applyFill="1" applyBorder="1" applyAlignment="1" applyProtection="0">
      <alignment vertical="bottom"/>
    </xf>
    <xf numFmtId="0" fontId="0" fillId="6" borderId="19" applyNumberFormat="0" applyFont="1" applyFill="1" applyBorder="1" applyAlignment="1" applyProtection="0">
      <alignment vertical="bottom"/>
    </xf>
    <xf numFmtId="1" fontId="0" fillId="5" borderId="17" applyNumberFormat="1" applyFont="1" applyFill="1" applyBorder="1" applyAlignment="1" applyProtection="0">
      <alignment vertical="bottom"/>
    </xf>
    <xf numFmtId="59" fontId="0" fillId="5" borderId="18" applyNumberFormat="1" applyFont="1" applyFill="1" applyBorder="1" applyAlignment="1" applyProtection="0">
      <alignment vertical="bottom"/>
    </xf>
    <xf numFmtId="1" fontId="0" fillId="6" borderId="20" applyNumberFormat="1" applyFont="1" applyFill="1" applyBorder="1" applyAlignment="1" applyProtection="0">
      <alignment vertical="bottom"/>
    </xf>
    <xf numFmtId="59" fontId="0" fillId="6" borderId="21" applyNumberFormat="1" applyFont="1" applyFill="1" applyBorder="1" applyAlignment="1" applyProtection="0">
      <alignment vertical="bottom"/>
    </xf>
    <xf numFmtId="60" fontId="0" fillId="6" borderId="21" applyNumberFormat="1" applyFont="1" applyFill="1" applyBorder="1" applyAlignment="1" applyProtection="0">
      <alignment vertical="bottom"/>
    </xf>
    <xf numFmtId="61" fontId="0" fillId="5" borderId="18" applyNumberFormat="1" applyFont="1" applyFill="1" applyBorder="1" applyAlignment="1" applyProtection="0">
      <alignment vertical="bottom"/>
    </xf>
    <xf numFmtId="61" fontId="0" fillId="6" borderId="21" applyNumberFormat="1" applyFont="1" applyFill="1" applyBorder="1" applyAlignment="1" applyProtection="0">
      <alignment vertical="bottom"/>
    </xf>
    <xf numFmtId="0" fontId="0" fillId="6" borderId="22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7" borderId="23" applyNumberFormat="1" applyFont="1" applyFill="1" applyBorder="1" applyAlignment="1" applyProtection="0">
      <alignment vertical="bottom"/>
    </xf>
    <xf numFmtId="49" fontId="4" fillId="7" borderId="24" applyNumberFormat="1" applyFont="1" applyFill="1" applyBorder="1" applyAlignment="1" applyProtection="0">
      <alignment vertical="bottom"/>
    </xf>
    <xf numFmtId="0" fontId="4" fillId="7" borderId="25" applyNumberFormat="0" applyFont="1" applyFill="1" applyBorder="1" applyAlignment="1" applyProtection="0">
      <alignment vertical="bottom"/>
    </xf>
    <xf numFmtId="0" fontId="4" fillId="7" borderId="26" applyNumberFormat="0" applyFont="1" applyFill="1" applyBorder="1" applyAlignment="1" applyProtection="0">
      <alignment vertical="bottom"/>
    </xf>
    <xf numFmtId="0" fontId="0" fillId="6" borderId="23" applyNumberFormat="1" applyFont="1" applyFill="1" applyBorder="1" applyAlignment="1" applyProtection="0">
      <alignment vertical="bottom"/>
    </xf>
    <xf numFmtId="0" fontId="0" fillId="6" borderId="27" applyNumberFormat="1" applyFont="1" applyFill="1" applyBorder="1" applyAlignment="1" applyProtection="0">
      <alignment vertical="bottom"/>
    </xf>
    <xf numFmtId="0" fontId="0" fillId="6" borderId="28" applyNumberFormat="1" applyFont="1" applyFill="1" applyBorder="1" applyAlignment="1" applyProtection="0">
      <alignment horizontal="center" vertical="center"/>
    </xf>
    <xf numFmtId="0" fontId="0" fillId="6" borderId="29" applyNumberFormat="0" applyFont="1" applyFill="1" applyBorder="1" applyAlignment="1" applyProtection="0">
      <alignment vertical="bottom"/>
    </xf>
    <xf numFmtId="0" fontId="0" fillId="6" borderId="30" applyNumberFormat="0" applyFont="1" applyFill="1" applyBorder="1" applyAlignment="1" applyProtection="0">
      <alignment vertical="bottom"/>
    </xf>
    <xf numFmtId="0" fontId="0" fillId="6" borderId="31" applyNumberFormat="0" applyFont="1" applyFill="1" applyBorder="1" applyAlignment="1" applyProtection="0">
      <alignment vertical="bottom"/>
    </xf>
    <xf numFmtId="0" fontId="0" fillId="6" borderId="32" applyNumberFormat="0" applyFont="1" applyFill="1" applyBorder="1" applyAlignment="1" applyProtection="0">
      <alignment vertical="bottom"/>
    </xf>
    <xf numFmtId="0" fontId="0" fillId="6" borderId="33" applyNumberFormat="0" applyFont="1" applyFill="1" applyBorder="1" applyAlignment="1" applyProtection="0">
      <alignment vertical="bottom"/>
    </xf>
    <xf numFmtId="0" fontId="0" fillId="6" borderId="34" applyNumberFormat="0" applyFont="1" applyFill="1" applyBorder="1" applyAlignment="1" applyProtection="0">
      <alignment vertical="bottom"/>
    </xf>
    <xf numFmtId="0" fontId="0" fillId="6" borderId="25" applyNumberFormat="0" applyFont="1" applyFill="1" applyBorder="1" applyAlignment="1" applyProtection="0">
      <alignment vertical="bottom"/>
    </xf>
    <xf numFmtId="0" fontId="0" fillId="6" borderId="26" applyNumberFormat="0" applyFont="1" applyFill="1" applyBorder="1" applyAlignment="1" applyProtection="0">
      <alignment vertical="bottom"/>
    </xf>
    <xf numFmtId="0" fontId="0" fillId="6" borderId="35" applyNumberFormat="0" applyFont="1" applyFill="1" applyBorder="1" applyAlignment="1" applyProtection="0">
      <alignment vertical="bottom"/>
    </xf>
    <xf numFmtId="0" fontId="0" fillId="6" borderId="36" applyNumberFormat="0" applyFont="1" applyFill="1" applyBorder="1" applyAlignment="1" applyProtection="0">
      <alignment vertical="bottom"/>
    </xf>
    <xf numFmtId="0" fontId="0" fillId="6" borderId="37" applyNumberFormat="0" applyFont="1" applyFill="1" applyBorder="1" applyAlignment="1" applyProtection="0">
      <alignment vertical="bottom"/>
    </xf>
    <xf numFmtId="0" fontId="0" fillId="6" borderId="38" applyNumberFormat="1" applyFont="1" applyFill="1" applyBorder="1" applyAlignment="1" applyProtection="0">
      <alignment horizontal="center" vertical="center"/>
    </xf>
    <xf numFmtId="0" fontId="0" fillId="6" borderId="3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7" borderId="40" applyNumberFormat="1" applyFont="1" applyFill="1" applyBorder="1" applyAlignment="1" applyProtection="0">
      <alignment horizontal="center" vertical="center"/>
    </xf>
    <xf numFmtId="0" fontId="0" fillId="6" borderId="41" applyNumberFormat="0" applyFont="1" applyFill="1" applyBorder="1" applyAlignment="1" applyProtection="0">
      <alignment vertical="bottom"/>
    </xf>
    <xf numFmtId="49" fontId="4" fillId="8" borderId="42" applyNumberFormat="1" applyFont="1" applyFill="1" applyBorder="1" applyAlignment="1" applyProtection="0">
      <alignment horizontal="center" vertical="center"/>
    </xf>
    <xf numFmtId="62" fontId="0" fillId="6" borderId="43" applyNumberFormat="1" applyFont="1" applyFill="1" applyBorder="1" applyAlignment="1" applyProtection="0">
      <alignment horizontal="center" vertical="center"/>
    </xf>
    <xf numFmtId="62" fontId="0" fillId="6" borderId="28" applyNumberFormat="1" applyFont="1" applyFill="1" applyBorder="1" applyAlignment="1" applyProtection="0">
      <alignment horizontal="center" vertical="center"/>
    </xf>
    <xf numFmtId="0" fontId="0" fillId="6" borderId="44" applyNumberFormat="0" applyFont="1" applyFill="1" applyBorder="1" applyAlignment="1" applyProtection="0">
      <alignment vertical="bottom"/>
    </xf>
    <xf numFmtId="49" fontId="4" fillId="8" borderId="45" applyNumberFormat="1" applyFont="1" applyFill="1" applyBorder="1" applyAlignment="1" applyProtection="0">
      <alignment horizontal="center" vertical="center"/>
    </xf>
    <xf numFmtId="62" fontId="0" fillId="6" borderId="46" applyNumberFormat="1" applyFont="1" applyFill="1" applyBorder="1" applyAlignment="1" applyProtection="0">
      <alignment horizontal="center" vertical="center"/>
    </xf>
    <xf numFmtId="62" fontId="0" fillId="6" borderId="38" applyNumberFormat="1" applyFont="1" applyFill="1" applyBorder="1" applyAlignment="1" applyProtection="0">
      <alignment horizontal="center" vertical="center"/>
    </xf>
    <xf numFmtId="0" fontId="0" fillId="6" borderId="47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7" borderId="40" applyNumberFormat="1" applyFont="1" applyFill="1" applyBorder="1" applyAlignment="1" applyProtection="0">
      <alignment horizontal="center" vertical="bottom"/>
    </xf>
    <xf numFmtId="0" fontId="0" fillId="6" borderId="48" applyNumberFormat="0" applyFont="1" applyFill="1" applyBorder="1" applyAlignment="1" applyProtection="0">
      <alignment vertical="bottom"/>
    </xf>
    <xf numFmtId="49" fontId="4" fillId="8" borderId="42" applyNumberFormat="1" applyFont="1" applyFill="1" applyBorder="1" applyAlignment="1" applyProtection="0">
      <alignment horizontal="center" vertical="bottom"/>
    </xf>
    <xf numFmtId="2" fontId="0" fillId="6" borderId="43" applyNumberFormat="1" applyFont="1" applyFill="1" applyBorder="1" applyAlignment="1" applyProtection="0">
      <alignment horizontal="center" vertical="bottom"/>
    </xf>
    <xf numFmtId="2" fontId="0" fillId="6" borderId="28" applyNumberFormat="1" applyFont="1" applyFill="1" applyBorder="1" applyAlignment="1" applyProtection="0">
      <alignment horizontal="center" vertical="bottom"/>
    </xf>
    <xf numFmtId="49" fontId="4" fillId="8" borderId="45" applyNumberFormat="1" applyFont="1" applyFill="1" applyBorder="1" applyAlignment="1" applyProtection="0">
      <alignment horizontal="center" vertical="bottom"/>
    </xf>
    <xf numFmtId="2" fontId="0" fillId="6" borderId="46" applyNumberFormat="1" applyFont="1" applyFill="1" applyBorder="1" applyAlignment="1" applyProtection="0">
      <alignment horizontal="center" vertical="bottom"/>
    </xf>
    <xf numFmtId="2" fontId="0" fillId="6" borderId="38" applyNumberFormat="1" applyFont="1" applyFill="1" applyBorder="1" applyAlignment="1" applyProtection="0">
      <alignment horizontal="center" vertical="bottom"/>
    </xf>
    <xf numFmtId="3" fontId="0" fillId="6" borderId="46" applyNumberFormat="1" applyFont="1" applyFill="1" applyBorder="1" applyAlignment="1" applyProtection="0">
      <alignment horizontal="center" vertical="bottom"/>
    </xf>
    <xf numFmtId="63" fontId="0" fillId="6" borderId="38" applyNumberFormat="1" applyFont="1" applyFill="1" applyBorder="1" applyAlignment="1" applyProtection="0">
      <alignment horizontal="center" vertical="bottom"/>
    </xf>
    <xf numFmtId="0" fontId="0" fillId="6" borderId="49" applyNumberFormat="0" applyFont="1" applyFill="1" applyBorder="1" applyAlignment="1" applyProtection="0">
      <alignment vertical="bottom"/>
    </xf>
    <xf numFmtId="0" fontId="0" fillId="6" borderId="50" applyNumberFormat="0" applyFont="1" applyFill="1" applyBorder="1" applyAlignment="1" applyProtection="0">
      <alignment vertical="bottom"/>
    </xf>
    <xf numFmtId="0" fontId="0" fillId="6" borderId="51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aaaaa"/>
      <rgbColor rgb="ff878787"/>
      <rgbColor rgb="ff42719b"/>
      <rgbColor rgb="ffbdc0bf"/>
      <rgbColor rgb="ff3f3f3f"/>
      <rgbColor rgb="ffa5a5a5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autoTitleDeleted val="1"/>
    <c:plotArea>
      <c:layout>
        <c:manualLayout>
          <c:layoutTarget val="inner"/>
          <c:xMode val="edge"/>
          <c:yMode val="edge"/>
          <c:x val="0.144614"/>
          <c:y val="0.0551577"/>
          <c:w val="0.850386"/>
          <c:h val="0.766261"/>
        </c:manualLayout>
      </c:layout>
      <c:lineChart>
        <c:grouping val="standard"/>
        <c:varyColors val="0"/>
        <c:ser>
          <c:idx val="0"/>
          <c:order val="0"/>
          <c:tx>
            <c:v>Series1</c:v>
          </c:tx>
          <c:spPr>
            <a:solidFill>
              <a:srgbClr val="42719B"/>
            </a:solidFill>
            <a:ln w="47625" cap="flat">
              <a:solidFill>
                <a:srgbClr val="42719B"/>
              </a:solidFill>
              <a:prstDash val="solid"/>
              <a:round/>
            </a:ln>
            <a:effectLst/>
          </c:spPr>
          <c:marker>
            <c:symbol val="diamond"/>
            <c:size val="10"/>
            <c:spPr>
              <a:solidFill>
                <a:srgbClr val="42719B"/>
              </a:solidFill>
              <a:ln w="9525" cap="flat">
                <a:solidFill>
                  <a:srgbClr val="42719B"/>
                </a:solidFill>
                <a:prstDash val="solid"/>
                <a:round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Helvetica Neue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Lit>
              <c:ptCount val="49"/>
              <c:pt idx="0">
                <c:v>0</c:v>
              </c:pt>
              <c:pt idx="1">
                <c:v>100</c:v>
              </c:pt>
              <c:pt idx="2">
                <c:v>200</c:v>
              </c:pt>
              <c:pt idx="3">
                <c:v>300</c:v>
              </c:pt>
              <c:pt idx="4">
                <c:v>400</c:v>
              </c:pt>
              <c:pt idx="5">
                <c:v>500</c:v>
              </c:pt>
              <c:pt idx="6">
                <c:v>600</c:v>
              </c:pt>
              <c:pt idx="7">
                <c:v>700</c:v>
              </c:pt>
              <c:pt idx="8">
                <c:v>800</c:v>
              </c:pt>
              <c:pt idx="9">
                <c:v>900</c:v>
              </c:pt>
              <c:pt idx="10">
                <c:v>1000</c:v>
              </c:pt>
              <c:pt idx="11">
                <c:v>1100</c:v>
              </c:pt>
              <c:pt idx="12">
                <c:v>1200</c:v>
              </c:pt>
              <c:pt idx="13">
                <c:v>1300</c:v>
              </c:pt>
              <c:pt idx="14">
                <c:v>1400</c:v>
              </c:pt>
              <c:pt idx="15">
                <c:v>1500</c:v>
              </c:pt>
              <c:pt idx="16">
                <c:v>1600</c:v>
              </c:pt>
              <c:pt idx="17">
                <c:v>1700</c:v>
              </c:pt>
              <c:pt idx="18">
                <c:v>1800</c:v>
              </c:pt>
              <c:pt idx="19">
                <c:v>1900</c:v>
              </c:pt>
              <c:pt idx="20">
                <c:v>2000</c:v>
              </c:pt>
              <c:pt idx="21">
                <c:v>2100</c:v>
              </c:pt>
              <c:pt idx="22">
                <c:v>2200</c:v>
              </c:pt>
              <c:pt idx="23">
                <c:v>2300</c:v>
              </c:pt>
              <c:pt idx="24">
                <c:v>2400</c:v>
              </c:pt>
              <c:pt idx="25">
                <c:v>2500</c:v>
              </c:pt>
              <c:pt idx="26">
                <c:v>2600</c:v>
              </c:pt>
              <c:pt idx="27">
                <c:v>2700</c:v>
              </c:pt>
              <c:pt idx="28">
                <c:v>2800</c:v>
              </c:pt>
              <c:pt idx="29">
                <c:v>2900</c:v>
              </c:pt>
              <c:pt idx="30">
                <c:v>3000</c:v>
              </c:pt>
              <c:pt idx="31">
                <c:v>3100</c:v>
              </c:pt>
              <c:pt idx="32">
                <c:v>3200</c:v>
              </c:pt>
              <c:pt idx="33">
                <c:v>3300</c:v>
              </c:pt>
              <c:pt idx="34">
                <c:v>3400</c:v>
              </c:pt>
              <c:pt idx="35">
                <c:v>3500</c:v>
              </c:pt>
              <c:pt idx="36">
                <c:v>3600</c:v>
              </c:pt>
              <c:pt idx="37">
                <c:v>3700</c:v>
              </c:pt>
              <c:pt idx="38">
                <c:v>3800</c:v>
              </c:pt>
              <c:pt idx="39">
                <c:v>3900</c:v>
              </c:pt>
              <c:pt idx="40">
                <c:v>4000</c:v>
              </c:pt>
              <c:pt idx="41">
                <c:v>4100</c:v>
              </c:pt>
              <c:pt idx="42">
                <c:v>4200</c:v>
              </c:pt>
              <c:pt idx="43">
                <c:v>4300</c:v>
              </c:pt>
              <c:pt idx="44">
                <c:v>4400</c:v>
              </c:pt>
              <c:pt idx="45">
                <c:v>4500</c:v>
              </c:pt>
              <c:pt idx="46">
                <c:v>4600</c:v>
              </c:pt>
              <c:pt idx="47">
                <c:v>Engine Speed [rpm]</c:v>
              </c:pt>
              <c:pt idx="48">
                <c:v/>
              </c:pt>
            </c:strLit>
          </c:cat>
          <c:val>
            <c:numRef>
              <c:f>'Motor'!$C$1:$C$48,'Motor'!$B$1</c:f>
              <c:numCache>
                <c:ptCount val="47"/>
                <c:pt idx="1">
                  <c:v>51.030690</c:v>
                </c:pt>
                <c:pt idx="2">
                  <c:v>51.030690</c:v>
                </c:pt>
                <c:pt idx="3">
                  <c:v>51.030690</c:v>
                </c:pt>
                <c:pt idx="4">
                  <c:v>51.030690</c:v>
                </c:pt>
                <c:pt idx="5">
                  <c:v>51.030690</c:v>
                </c:pt>
                <c:pt idx="6">
                  <c:v>51.030690</c:v>
                </c:pt>
                <c:pt idx="7">
                  <c:v>51.030690</c:v>
                </c:pt>
                <c:pt idx="8">
                  <c:v>51.030690</c:v>
                </c:pt>
                <c:pt idx="9">
                  <c:v>51.030690</c:v>
                </c:pt>
                <c:pt idx="10">
                  <c:v>51.030690</c:v>
                </c:pt>
                <c:pt idx="11">
                  <c:v>51.030690</c:v>
                </c:pt>
                <c:pt idx="12">
                  <c:v>51.030690</c:v>
                </c:pt>
                <c:pt idx="13">
                  <c:v>51.030690</c:v>
                </c:pt>
                <c:pt idx="14">
                  <c:v>51.030690</c:v>
                </c:pt>
                <c:pt idx="15">
                  <c:v>51.030690</c:v>
                </c:pt>
                <c:pt idx="16">
                  <c:v>51.030690</c:v>
                </c:pt>
                <c:pt idx="17">
                  <c:v>51.030690</c:v>
                </c:pt>
                <c:pt idx="18">
                  <c:v>51.030690</c:v>
                </c:pt>
                <c:pt idx="19">
                  <c:v>51.030690</c:v>
                </c:pt>
                <c:pt idx="20">
                  <c:v>51.030690</c:v>
                </c:pt>
                <c:pt idx="21">
                  <c:v>51.030690</c:v>
                </c:pt>
                <c:pt idx="22">
                  <c:v>51.030690</c:v>
                </c:pt>
                <c:pt idx="23">
                  <c:v>51.030690</c:v>
                </c:pt>
                <c:pt idx="24">
                  <c:v>51.030690</c:v>
                </c:pt>
                <c:pt idx="25">
                  <c:v>51.030690</c:v>
                </c:pt>
                <c:pt idx="26">
                  <c:v>51.030690</c:v>
                </c:pt>
                <c:pt idx="27">
                  <c:v>51.030690</c:v>
                </c:pt>
                <c:pt idx="28">
                  <c:v>51.030690</c:v>
                </c:pt>
                <c:pt idx="29">
                  <c:v>51.030690</c:v>
                </c:pt>
                <c:pt idx="30">
                  <c:v>51.030690</c:v>
                </c:pt>
                <c:pt idx="31">
                  <c:v>51.030690</c:v>
                </c:pt>
                <c:pt idx="32">
                  <c:v>51.030690</c:v>
                </c:pt>
                <c:pt idx="33">
                  <c:v>51.030690</c:v>
                </c:pt>
                <c:pt idx="34">
                  <c:v>51.030690</c:v>
                </c:pt>
                <c:pt idx="35">
                  <c:v>51.030690</c:v>
                </c:pt>
                <c:pt idx="36">
                  <c:v>51.030690</c:v>
                </c:pt>
                <c:pt idx="37">
                  <c:v>51.030690</c:v>
                </c:pt>
                <c:pt idx="38">
                  <c:v>44.843690</c:v>
                </c:pt>
                <c:pt idx="39">
                  <c:v>36.821569</c:v>
                </c:pt>
                <c:pt idx="40">
                  <c:v>30.062729</c:v>
                </c:pt>
                <c:pt idx="41">
                  <c:v>25.337074</c:v>
                </c:pt>
                <c:pt idx="42">
                  <c:v>21.037412</c:v>
                </c:pt>
                <c:pt idx="43">
                  <c:v>17.084032</c:v>
                </c:pt>
                <c:pt idx="44">
                  <c:v>13.418489</c:v>
                </c:pt>
                <c:pt idx="45">
                  <c:v>9.995927</c:v>
                </c:pt>
                <c:pt idx="46">
                  <c:v>6.776965</c:v>
                </c:pt>
                <c:pt idx="47">
                  <c:v>3.739575</c:v>
                </c:pt>
              </c:numCache>
            </c:numRef>
          </c:val>
          <c:smooth val="1"/>
        </c:ser>
        <c:marker val="1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majorGridlines>
          <c:spPr>
            <a:ln w="6350" cap="flat">
              <a:solidFill>
                <a:srgbClr val="000000"/>
              </a:solidFill>
              <a:prstDash val="solid"/>
              <a:miter lim="400000"/>
            </a:ln>
          </c:spPr>
        </c:majorGridlines>
        <c:title>
          <c:tx>
            <c:rich>
              <a:bodyPr rot="0"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b="0" i="0" strike="noStrike" sz="1800" u="none">
                    <a:solidFill>
                      <a:srgbClr val="000000"/>
                    </a:solidFill>
                    <a:latin typeface="Helvetica Neue"/>
                  </a:rPr>
                  <a:t>Engine Speed [rpm]</a:t>
                </a:r>
              </a:p>
            </c:rich>
          </c:tx>
          <c:layout/>
          <c:overlay val="1"/>
        </c:title>
        <c:numFmt formatCode="General" sourceLinked="1"/>
        <c:majorTickMark val="out"/>
        <c:minorTickMark val="none"/>
        <c:tickLblPos val="low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3"/>
        <c:crosses val="autoZero"/>
        <c:auto val="1"/>
        <c:lblAlgn val="ctr"/>
        <c:tickLblSkip val="5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b="0" i="0" strike="noStrike" sz="1800" u="none">
                    <a:solidFill>
                      <a:srgbClr val="000000"/>
                    </a:solidFill>
                    <a:latin typeface="Helvetica Neue"/>
                  </a:rPr>
                  <a:t>Torque [Nm]</a:t>
                </a:r>
              </a:p>
            </c:rich>
          </c:tx>
          <c:layout/>
          <c:overlay val="1"/>
        </c:title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2"/>
        <c:crosses val="autoZero"/>
        <c:crossBetween val="midCat"/>
        <c:majorUnit val="15"/>
        <c:minorUnit val="7.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3</xdr:col>
      <xdr:colOff>6349</xdr:colOff>
      <xdr:row>6</xdr:row>
      <xdr:rowOff>0</xdr:rowOff>
    </xdr:from>
    <xdr:to>
      <xdr:col>12</xdr:col>
      <xdr:colOff>249084</xdr:colOff>
      <xdr:row>34</xdr:row>
      <xdr:rowOff>148828</xdr:rowOff>
    </xdr:to>
    <xdr:graphicFrame>
      <xdr:nvGraphicFramePr>
        <xdr:cNvPr id="2" name="2D Line Chart"/>
        <xdr:cNvGraphicFramePr/>
      </xdr:nvGraphicFramePr>
      <xdr:xfrm>
        <a:off x="2762249" y="1028700"/>
        <a:ext cx="6300636" cy="4949429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E4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3.6719" style="1" customWidth="1"/>
    <col min="2" max="2" width="30.5" style="1" customWidth="1"/>
    <col min="3" max="3" width="12.1719" style="1" customWidth="1"/>
    <col min="4" max="4" width="6.5" style="1" customWidth="1"/>
    <col min="5" max="5" width="81.1719" style="1" customWidth="1"/>
    <col min="6" max="16384" width="8.85156" style="1" customWidth="1"/>
  </cols>
  <sheetData>
    <row r="1" ht="15" customHeight="1">
      <c r="A1" t="s" s="2">
        <v>0</v>
      </c>
      <c r="B1" t="s" s="3">
        <v>1</v>
      </c>
      <c r="C1" t="s" s="4">
        <v>2</v>
      </c>
      <c r="D1" t="s" s="4">
        <v>3</v>
      </c>
      <c r="E1" t="s" s="5">
        <v>4</v>
      </c>
    </row>
    <row r="2" ht="14.1" customHeight="1">
      <c r="A2" t="s" s="6">
        <v>5</v>
      </c>
      <c r="B2" t="s" s="7">
        <v>6</v>
      </c>
      <c r="C2" t="s" s="8">
        <v>7</v>
      </c>
      <c r="D2" t="s" s="9">
        <v>8</v>
      </c>
      <c r="E2" s="10"/>
    </row>
    <row r="3" ht="15" customHeight="1">
      <c r="A3" s="11"/>
      <c r="B3" t="s" s="12">
        <v>9</v>
      </c>
      <c r="C3" t="s" s="13">
        <v>10</v>
      </c>
      <c r="D3" t="s" s="14">
        <v>8</v>
      </c>
      <c r="E3" s="15"/>
    </row>
    <row r="4" ht="14.1" customHeight="1">
      <c r="A4" t="s" s="6">
        <v>11</v>
      </c>
      <c r="B4" t="s" s="7">
        <v>12</v>
      </c>
      <c r="C4" s="16">
        <v>350</v>
      </c>
      <c r="D4" t="s" s="9">
        <v>13</v>
      </c>
      <c r="E4" s="10"/>
    </row>
    <row r="5" ht="15" customHeight="1">
      <c r="A5" s="11"/>
      <c r="B5" t="s" s="12">
        <v>14</v>
      </c>
      <c r="C5" s="17">
        <v>55</v>
      </c>
      <c r="D5" t="s" s="14">
        <v>15</v>
      </c>
      <c r="E5" s="15"/>
    </row>
    <row r="6" ht="15" customHeight="1">
      <c r="A6" t="s" s="18">
        <v>16</v>
      </c>
      <c r="B6" t="s" s="19">
        <v>17</v>
      </c>
      <c r="C6" s="20">
        <v>1600</v>
      </c>
      <c r="D6" t="s" s="21">
        <v>18</v>
      </c>
      <c r="E6" s="22"/>
    </row>
    <row r="7" ht="15" customHeight="1">
      <c r="A7" t="s" s="18">
        <v>19</v>
      </c>
      <c r="B7" t="s" s="19">
        <v>20</v>
      </c>
      <c r="C7" s="20">
        <v>4.23</v>
      </c>
      <c r="D7" t="s" s="21">
        <v>8</v>
      </c>
      <c r="E7" t="s" s="23">
        <v>21</v>
      </c>
    </row>
    <row r="8" ht="14.1" customHeight="1">
      <c r="A8" t="s" s="6">
        <v>22</v>
      </c>
      <c r="B8" t="s" s="7">
        <v>23</v>
      </c>
      <c r="C8" s="16">
        <v>-0.02</v>
      </c>
      <c r="D8" t="s" s="9">
        <v>8</v>
      </c>
      <c r="E8" t="s" s="24">
        <v>24</v>
      </c>
    </row>
    <row r="9" ht="13.5" customHeight="1">
      <c r="A9" s="25"/>
      <c r="B9" t="s" s="26">
        <v>25</v>
      </c>
      <c r="C9" s="27">
        <v>-0.62</v>
      </c>
      <c r="D9" t="s" s="28">
        <v>8</v>
      </c>
      <c r="E9" t="s" s="29">
        <v>26</v>
      </c>
    </row>
    <row r="10" ht="13.5" customHeight="1">
      <c r="A10" s="25"/>
      <c r="B10" t="s" s="26">
        <v>27</v>
      </c>
      <c r="C10" s="27">
        <v>1</v>
      </c>
      <c r="D10" t="s" s="28">
        <v>8</v>
      </c>
      <c r="E10" s="30"/>
    </row>
    <row r="11" ht="13.5" customHeight="1">
      <c r="A11" s="25"/>
      <c r="B11" t="s" s="26">
        <v>28</v>
      </c>
      <c r="C11" s="27">
        <v>1</v>
      </c>
      <c r="D11" t="s" s="28">
        <v>8</v>
      </c>
      <c r="E11" s="30"/>
    </row>
    <row r="12" ht="13.5" customHeight="1">
      <c r="A12" s="25"/>
      <c r="B12" t="s" s="26">
        <v>29</v>
      </c>
      <c r="C12" s="27">
        <v>50</v>
      </c>
      <c r="D12" t="s" s="28">
        <v>15</v>
      </c>
      <c r="E12" s="30"/>
    </row>
    <row r="13" ht="13.5" customHeight="1">
      <c r="A13" s="25"/>
      <c r="B13" t="s" s="26">
        <v>30</v>
      </c>
      <c r="C13" s="27">
        <v>1.3</v>
      </c>
      <c r="D13" t="s" s="28">
        <v>31</v>
      </c>
      <c r="E13" s="30"/>
    </row>
    <row r="14" ht="15" customHeight="1">
      <c r="A14" s="11"/>
      <c r="B14" t="s" s="12">
        <v>32</v>
      </c>
      <c r="C14" s="17">
        <v>1.225</v>
      </c>
      <c r="D14" t="s" s="14">
        <v>33</v>
      </c>
      <c r="E14" t="s" s="31">
        <v>34</v>
      </c>
    </row>
    <row r="15" ht="14.1" customHeight="1">
      <c r="A15" t="s" s="6">
        <v>35</v>
      </c>
      <c r="B15" t="s" s="7">
        <v>36</v>
      </c>
      <c r="C15" s="16">
        <v>254</v>
      </c>
      <c r="D15" t="s" s="9">
        <v>18</v>
      </c>
      <c r="E15" t="s" s="24">
        <v>37</v>
      </c>
    </row>
    <row r="16" ht="13.5" customHeight="1">
      <c r="A16" s="25"/>
      <c r="B16" t="s" s="26">
        <v>38</v>
      </c>
      <c r="C16" s="27">
        <v>45.2</v>
      </c>
      <c r="D16" t="s" s="28">
        <v>18</v>
      </c>
      <c r="E16" t="s" s="29">
        <v>37</v>
      </c>
    </row>
    <row r="17" ht="13.5" customHeight="1">
      <c r="A17" s="25"/>
      <c r="B17" t="s" s="26">
        <v>39</v>
      </c>
      <c r="C17" s="27">
        <v>0.45</v>
      </c>
      <c r="D17" t="s" s="28">
        <v>8</v>
      </c>
      <c r="E17" t="s" s="29">
        <v>40</v>
      </c>
    </row>
    <row r="18" ht="13.5" customHeight="1">
      <c r="A18" s="25"/>
      <c r="B18" t="s" s="26">
        <v>41</v>
      </c>
      <c r="C18" s="27">
        <v>2</v>
      </c>
      <c r="D18" t="s" s="28">
        <v>8</v>
      </c>
      <c r="E18" t="s" s="29">
        <v>37</v>
      </c>
    </row>
    <row r="19" ht="13.5" customHeight="1">
      <c r="A19" s="25"/>
      <c r="B19" t="s" s="26">
        <v>42</v>
      </c>
      <c r="C19" s="27">
        <v>31.75</v>
      </c>
      <c r="D19" t="s" s="28">
        <v>18</v>
      </c>
      <c r="E19" t="s" s="29">
        <v>37</v>
      </c>
    </row>
    <row r="20" ht="13.5" customHeight="1">
      <c r="A20" s="25"/>
      <c r="B20" t="s" s="26">
        <v>43</v>
      </c>
      <c r="C20" s="27">
        <v>17</v>
      </c>
      <c r="D20" t="s" s="28">
        <v>18</v>
      </c>
      <c r="E20" t="s" s="29">
        <v>44</v>
      </c>
    </row>
    <row r="21" ht="15" customHeight="1">
      <c r="A21" s="11"/>
      <c r="B21" t="s" s="12">
        <v>45</v>
      </c>
      <c r="C21" s="17">
        <v>6</v>
      </c>
      <c r="D21" t="s" s="14">
        <v>8</v>
      </c>
      <c r="E21" t="s" s="31">
        <v>46</v>
      </c>
    </row>
    <row r="22" ht="14.1" customHeight="1">
      <c r="A22" t="s" s="6">
        <v>47</v>
      </c>
      <c r="B22" t="s" s="7">
        <v>48</v>
      </c>
      <c r="C22" s="16">
        <v>1</v>
      </c>
      <c r="D22" t="s" s="9">
        <v>8</v>
      </c>
      <c r="E22" s="10"/>
    </row>
    <row r="23" ht="13.5" customHeight="1">
      <c r="A23" s="25"/>
      <c r="B23" t="s" s="26">
        <v>49</v>
      </c>
      <c r="C23" s="27">
        <v>219.02</v>
      </c>
      <c r="D23" t="s" s="28">
        <v>18</v>
      </c>
      <c r="E23" t="s" s="29">
        <v>50</v>
      </c>
    </row>
    <row r="24" ht="13.5" customHeight="1">
      <c r="A24" s="25"/>
      <c r="B24" t="s" s="26">
        <v>51</v>
      </c>
      <c r="C24" s="27">
        <v>-0.016</v>
      </c>
      <c r="D24" t="s" s="28">
        <v>8</v>
      </c>
      <c r="E24" t="s" s="29">
        <v>52</v>
      </c>
    </row>
    <row r="25" ht="13.5" customHeight="1">
      <c r="A25" s="25"/>
      <c r="B25" t="s" s="26">
        <v>53</v>
      </c>
      <c r="C25" s="27">
        <v>1.4</v>
      </c>
      <c r="D25" t="s" s="28">
        <v>8</v>
      </c>
      <c r="E25" t="s" s="29">
        <v>54</v>
      </c>
    </row>
    <row r="26" ht="13.5" customHeight="1">
      <c r="A26" s="25"/>
      <c r="B26" t="s" s="26">
        <v>55</v>
      </c>
      <c r="C26" s="27" cm="1">
        <f t="array" ref="C26">C4/4</f>
        <v>87.5</v>
      </c>
      <c r="D26" t="s" s="28">
        <v>13</v>
      </c>
      <c r="E26" t="s" s="29">
        <v>56</v>
      </c>
    </row>
    <row r="27" ht="13.5" customHeight="1">
      <c r="A27" s="25"/>
      <c r="B27" t="s" s="26">
        <v>57</v>
      </c>
      <c r="C27" s="27">
        <v>0.0001</v>
      </c>
      <c r="D27" t="s" s="28">
        <v>58</v>
      </c>
      <c r="E27" t="s" s="29">
        <v>59</v>
      </c>
    </row>
    <row r="28" ht="13.5" customHeight="1">
      <c r="A28" s="25"/>
      <c r="B28" t="s" s="26">
        <v>60</v>
      </c>
      <c r="C28" s="27">
        <v>1</v>
      </c>
      <c r="D28" t="s" s="28">
        <v>8</v>
      </c>
      <c r="E28" t="s" s="29">
        <v>61</v>
      </c>
    </row>
    <row r="29" ht="13.5" customHeight="1">
      <c r="A29" s="25"/>
      <c r="B29" t="s" s="26">
        <v>62</v>
      </c>
      <c r="C29" s="27">
        <v>85.40000000000001</v>
      </c>
      <c r="D29" t="s" s="28">
        <v>13</v>
      </c>
      <c r="E29" t="s" s="29">
        <v>56</v>
      </c>
    </row>
    <row r="30" ht="13.5" customHeight="1">
      <c r="A30" s="25"/>
      <c r="B30" t="s" s="26">
        <v>63</v>
      </c>
      <c r="C30" s="27">
        <v>0.0001</v>
      </c>
      <c r="D30" t="s" s="28">
        <v>58</v>
      </c>
      <c r="E30" t="s" s="29">
        <v>59</v>
      </c>
    </row>
    <row r="31" ht="13.5" customHeight="1">
      <c r="A31" s="25"/>
      <c r="B31" t="s" s="26">
        <v>64</v>
      </c>
      <c r="C31" s="27">
        <v>800</v>
      </c>
      <c r="D31" t="s" s="28">
        <v>65</v>
      </c>
      <c r="E31" t="s" s="29">
        <v>66</v>
      </c>
    </row>
    <row r="32" ht="15" customHeight="1">
      <c r="A32" s="11"/>
      <c r="B32" t="s" s="12">
        <v>67</v>
      </c>
      <c r="C32" s="17">
        <v>1000</v>
      </c>
      <c r="D32" t="s" s="14">
        <v>65</v>
      </c>
      <c r="E32" t="s" s="31">
        <v>66</v>
      </c>
    </row>
    <row r="33" ht="14.1" customHeight="1">
      <c r="A33" t="s" s="32">
        <v>68</v>
      </c>
      <c r="B33" t="s" s="7">
        <v>69</v>
      </c>
      <c r="C33" t="s" s="8">
        <v>70</v>
      </c>
      <c r="D33" t="s" s="9">
        <v>8</v>
      </c>
      <c r="E33" s="10"/>
    </row>
    <row r="34" ht="13.5" customHeight="1">
      <c r="A34" s="33"/>
      <c r="B34" t="s" s="26">
        <v>71</v>
      </c>
      <c r="C34" s="27">
        <v>0.01</v>
      </c>
      <c r="D34" t="s" s="28">
        <v>72</v>
      </c>
      <c r="E34" t="s" s="29">
        <v>73</v>
      </c>
    </row>
    <row r="35" ht="13.5" customHeight="1">
      <c r="A35" s="33"/>
      <c r="B35" t="s" s="26">
        <v>74</v>
      </c>
      <c r="C35" s="27">
        <v>1</v>
      </c>
      <c r="D35" t="s" s="28">
        <v>8</v>
      </c>
      <c r="E35" t="s" s="29">
        <v>75</v>
      </c>
    </row>
    <row r="36" ht="13.5" customHeight="1">
      <c r="A36" s="33"/>
      <c r="B36" t="s" s="26">
        <v>76</v>
      </c>
      <c r="C36" s="27">
        <v>0.98</v>
      </c>
      <c r="D36" t="s" s="28">
        <v>8</v>
      </c>
      <c r="E36" t="s" s="29">
        <v>77</v>
      </c>
    </row>
    <row r="37" ht="13.5" customHeight="1">
      <c r="A37" s="33"/>
      <c r="B37" t="s" s="26">
        <v>78</v>
      </c>
      <c r="C37" s="27">
        <v>1</v>
      </c>
      <c r="D37" t="s" s="28">
        <v>8</v>
      </c>
      <c r="E37" t="s" s="29">
        <v>75</v>
      </c>
    </row>
    <row r="38" ht="13.5" customHeight="1">
      <c r="A38" s="33"/>
      <c r="B38" t="s" s="26">
        <v>79</v>
      </c>
      <c r="C38" s="27">
        <v>1</v>
      </c>
      <c r="D38" t="s" s="28">
        <v>8</v>
      </c>
      <c r="E38" t="s" s="29">
        <v>80</v>
      </c>
    </row>
    <row r="39" ht="13.5" customHeight="1">
      <c r="A39" s="33"/>
      <c r="B39" t="s" s="26">
        <v>81</v>
      </c>
      <c r="C39" s="27">
        <v>5</v>
      </c>
      <c r="D39" t="s" s="28">
        <v>8</v>
      </c>
      <c r="E39" s="30"/>
    </row>
    <row r="40" ht="15" customHeight="1">
      <c r="A40" s="34"/>
      <c r="B40" t="s" s="35">
        <v>82</v>
      </c>
      <c r="C40" s="17">
        <v>1</v>
      </c>
      <c r="D40" t="s" s="14">
        <v>8</v>
      </c>
      <c r="E40" s="15"/>
    </row>
    <row r="41" ht="14.1" customHeight="1">
      <c r="A41" t="s" s="36">
        <v>83</v>
      </c>
      <c r="B41" t="s" s="37">
        <v>84</v>
      </c>
      <c r="C41" s="16">
        <v>30.8</v>
      </c>
      <c r="D41" t="s" s="9">
        <v>85</v>
      </c>
      <c r="E41" s="10"/>
    </row>
    <row r="42" ht="13.5" customHeight="1">
      <c r="A42" s="38"/>
      <c r="B42" t="s" s="39">
        <v>86</v>
      </c>
      <c r="C42" s="27">
        <v>50</v>
      </c>
      <c r="D42" t="s" s="28">
        <v>87</v>
      </c>
      <c r="E42" s="30"/>
    </row>
    <row r="43" ht="13.5" customHeight="1">
      <c r="A43" s="38"/>
      <c r="B43" t="s" s="39">
        <v>88</v>
      </c>
      <c r="C43" s="27">
        <v>3</v>
      </c>
      <c r="D43" t="s" s="28">
        <v>89</v>
      </c>
      <c r="E43" s="30"/>
    </row>
    <row r="44" ht="13.5" customHeight="1">
      <c r="A44" s="38"/>
      <c r="B44" t="s" s="39">
        <v>90</v>
      </c>
      <c r="C44" s="27">
        <v>48</v>
      </c>
      <c r="D44" t="s" s="28">
        <v>8</v>
      </c>
      <c r="E44" s="30"/>
    </row>
    <row r="45" ht="13.5" customHeight="1">
      <c r="A45" s="38"/>
      <c r="B45" t="s" s="39">
        <v>91</v>
      </c>
      <c r="C45" s="27">
        <v>10</v>
      </c>
      <c r="D45" t="s" s="28">
        <v>8</v>
      </c>
      <c r="E45" s="30"/>
    </row>
    <row r="46" ht="13.5" customHeight="1">
      <c r="A46" s="38"/>
      <c r="B46" s="40"/>
      <c r="C46" s="41"/>
      <c r="D46" s="42"/>
      <c r="E46" s="30"/>
    </row>
    <row r="47" ht="13.5" customHeight="1">
      <c r="A47" s="38"/>
      <c r="B47" s="40"/>
      <c r="C47" s="41"/>
      <c r="D47" s="42"/>
      <c r="E47" s="30"/>
    </row>
    <row r="48" ht="13.5" customHeight="1">
      <c r="A48" s="38"/>
      <c r="B48" s="40"/>
      <c r="C48" s="41"/>
      <c r="D48" s="42"/>
      <c r="E48" s="30"/>
    </row>
    <row r="49" ht="15" customHeight="1">
      <c r="A49" s="43"/>
      <c r="B49" s="44"/>
      <c r="C49" s="45"/>
      <c r="D49" s="46"/>
      <c r="E49" s="15"/>
    </row>
  </sheetData>
  <mergeCells count="6">
    <mergeCell ref="A33:A40"/>
    <mergeCell ref="A2:A3"/>
    <mergeCell ref="A4:A5"/>
    <mergeCell ref="A8:A14"/>
    <mergeCell ref="A15:A21"/>
    <mergeCell ref="A22:A32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C48"/>
  <sheetViews>
    <sheetView workbookViewId="0" showGridLines="0" defaultGridColor="1"/>
  </sheetViews>
  <sheetFormatPr defaultColWidth="8.83333" defaultRowHeight="14.45" customHeight="1" outlineLevelRow="0" outlineLevelCol="0"/>
  <cols>
    <col min="1" max="1" width="2.17188" style="47" customWidth="1"/>
    <col min="2" max="2" width="20" style="47" customWidth="1"/>
    <col min="3" max="3" width="14" style="47" customWidth="1"/>
    <col min="4" max="16384" width="8.85156" style="47" customWidth="1"/>
  </cols>
  <sheetData>
    <row r="1" ht="13.5" customHeight="1">
      <c r="A1" s="48"/>
      <c r="B1" t="s" s="49">
        <v>92</v>
      </c>
      <c r="C1" t="s" s="50">
        <v>93</v>
      </c>
    </row>
    <row r="2" ht="13.5" customHeight="1">
      <c r="A2" s="51"/>
      <c r="B2" s="52">
        <v>0</v>
      </c>
      <c r="C2" s="53">
        <v>51.0306904761905</v>
      </c>
    </row>
    <row r="3" ht="13.5" customHeight="1">
      <c r="A3" s="51"/>
      <c r="B3" s="54">
        <v>100</v>
      </c>
      <c r="C3" s="55">
        <v>51.0306904761905</v>
      </c>
    </row>
    <row r="4" ht="13.5" customHeight="1">
      <c r="A4" s="51"/>
      <c r="B4" s="52">
        <v>200</v>
      </c>
      <c r="C4" s="53">
        <v>51.0306904761905</v>
      </c>
    </row>
    <row r="5" ht="13.5" customHeight="1">
      <c r="A5" s="51"/>
      <c r="B5" s="54">
        <v>300</v>
      </c>
      <c r="C5" s="55">
        <v>51.0306904761905</v>
      </c>
    </row>
    <row r="6" ht="13.5" customHeight="1">
      <c r="A6" s="51"/>
      <c r="B6" s="52">
        <v>400</v>
      </c>
      <c r="C6" s="53">
        <v>51.0306904761905</v>
      </c>
    </row>
    <row r="7" ht="13.5" customHeight="1">
      <c r="A7" s="51"/>
      <c r="B7" s="54">
        <v>500</v>
      </c>
      <c r="C7" s="55">
        <v>51.0306904761905</v>
      </c>
    </row>
    <row r="8" ht="13.5" customHeight="1">
      <c r="A8" s="51"/>
      <c r="B8" s="52">
        <v>600</v>
      </c>
      <c r="C8" s="53">
        <v>51.0306904761905</v>
      </c>
    </row>
    <row r="9" ht="13.5" customHeight="1">
      <c r="A9" s="51"/>
      <c r="B9" s="54">
        <v>700</v>
      </c>
      <c r="C9" s="55">
        <v>51.0306904761905</v>
      </c>
    </row>
    <row r="10" ht="13.5" customHeight="1">
      <c r="A10" s="51"/>
      <c r="B10" s="52">
        <v>800</v>
      </c>
      <c r="C10" s="53">
        <v>51.0306904761905</v>
      </c>
    </row>
    <row r="11" ht="13.5" customHeight="1">
      <c r="A11" s="51"/>
      <c r="B11" s="54">
        <v>900</v>
      </c>
      <c r="C11" s="55">
        <v>51.0306904761905</v>
      </c>
    </row>
    <row r="12" ht="13.5" customHeight="1">
      <c r="A12" s="51"/>
      <c r="B12" s="52">
        <v>1000</v>
      </c>
      <c r="C12" s="53">
        <v>51.0306904761905</v>
      </c>
    </row>
    <row r="13" ht="13.5" customHeight="1">
      <c r="A13" s="51"/>
      <c r="B13" s="54">
        <v>1100</v>
      </c>
      <c r="C13" s="55">
        <v>51.0306904761905</v>
      </c>
    </row>
    <row r="14" ht="13.5" customHeight="1">
      <c r="A14" s="51"/>
      <c r="B14" s="52">
        <v>1200</v>
      </c>
      <c r="C14" s="53">
        <v>51.0306904761905</v>
      </c>
    </row>
    <row r="15" ht="13.5" customHeight="1">
      <c r="A15" s="51"/>
      <c r="B15" s="54">
        <v>1300</v>
      </c>
      <c r="C15" s="55">
        <v>51.0306904761905</v>
      </c>
    </row>
    <row r="16" ht="13.5" customHeight="1">
      <c r="A16" s="51"/>
      <c r="B16" s="52">
        <v>1400</v>
      </c>
      <c r="C16" s="53">
        <v>51.0306904761905</v>
      </c>
    </row>
    <row r="17" ht="13.5" customHeight="1">
      <c r="A17" s="51"/>
      <c r="B17" s="54">
        <v>1500</v>
      </c>
      <c r="C17" s="55">
        <v>51.0306904761905</v>
      </c>
    </row>
    <row r="18" ht="13.5" customHeight="1">
      <c r="A18" s="51"/>
      <c r="B18" s="52">
        <v>1600</v>
      </c>
      <c r="C18" s="53">
        <v>51.0306904761905</v>
      </c>
    </row>
    <row r="19" ht="13.5" customHeight="1">
      <c r="A19" s="51"/>
      <c r="B19" s="54">
        <v>1700</v>
      </c>
      <c r="C19" s="55">
        <v>51.0306904761905</v>
      </c>
    </row>
    <row r="20" ht="13.5" customHeight="1">
      <c r="A20" s="51"/>
      <c r="B20" s="52">
        <v>1800</v>
      </c>
      <c r="C20" s="53">
        <v>51.0306904761905</v>
      </c>
    </row>
    <row r="21" ht="13.5" customHeight="1">
      <c r="A21" s="51"/>
      <c r="B21" s="54">
        <v>1900</v>
      </c>
      <c r="C21" s="55">
        <v>51.0306904761905</v>
      </c>
    </row>
    <row r="22" ht="13.5" customHeight="1">
      <c r="A22" s="51"/>
      <c r="B22" s="52">
        <v>2000</v>
      </c>
      <c r="C22" s="53">
        <v>51.0306904761905</v>
      </c>
    </row>
    <row r="23" ht="13.5" customHeight="1">
      <c r="A23" s="51"/>
      <c r="B23" s="54">
        <v>2100</v>
      </c>
      <c r="C23" s="55">
        <v>51.0306904761905</v>
      </c>
    </row>
    <row r="24" ht="13.5" customHeight="1">
      <c r="A24" s="51"/>
      <c r="B24" s="52">
        <v>2200</v>
      </c>
      <c r="C24" s="53">
        <v>51.0306904761905</v>
      </c>
    </row>
    <row r="25" ht="13.5" customHeight="1">
      <c r="A25" s="51"/>
      <c r="B25" s="54">
        <v>2300</v>
      </c>
      <c r="C25" s="55">
        <v>51.0306904761905</v>
      </c>
    </row>
    <row r="26" ht="13.5" customHeight="1">
      <c r="A26" s="51"/>
      <c r="B26" s="52">
        <v>2400</v>
      </c>
      <c r="C26" s="53">
        <v>51.0306904761905</v>
      </c>
    </row>
    <row r="27" ht="13.5" customHeight="1">
      <c r="A27" s="51"/>
      <c r="B27" s="54">
        <v>2500</v>
      </c>
      <c r="C27" s="55">
        <v>51.0306904761905</v>
      </c>
    </row>
    <row r="28" ht="13.5" customHeight="1">
      <c r="A28" s="51"/>
      <c r="B28" s="52">
        <v>2600</v>
      </c>
      <c r="C28" s="53">
        <v>51.0306904761905</v>
      </c>
    </row>
    <row r="29" ht="13.5" customHeight="1">
      <c r="A29" s="51"/>
      <c r="B29" s="54">
        <v>2700</v>
      </c>
      <c r="C29" s="55">
        <v>51.0306904761905</v>
      </c>
    </row>
    <row r="30" ht="13.5" customHeight="1">
      <c r="A30" s="51"/>
      <c r="B30" s="52">
        <v>2800</v>
      </c>
      <c r="C30" s="53">
        <v>51.0306904761905</v>
      </c>
    </row>
    <row r="31" ht="13.5" customHeight="1">
      <c r="A31" s="51"/>
      <c r="B31" s="54">
        <v>2900</v>
      </c>
      <c r="C31" s="55">
        <v>51.0306904761905</v>
      </c>
    </row>
    <row r="32" ht="13.5" customHeight="1">
      <c r="A32" s="51"/>
      <c r="B32" s="52">
        <v>3000</v>
      </c>
      <c r="C32" s="53">
        <v>51.0306904761905</v>
      </c>
    </row>
    <row r="33" ht="13.5" customHeight="1">
      <c r="A33" s="51"/>
      <c r="B33" s="54">
        <v>3100</v>
      </c>
      <c r="C33" s="55">
        <v>51.0306904761905</v>
      </c>
    </row>
    <row r="34" ht="13.5" customHeight="1">
      <c r="A34" s="51"/>
      <c r="B34" s="52">
        <v>3200</v>
      </c>
      <c r="C34" s="53">
        <v>51.0306904761905</v>
      </c>
    </row>
    <row r="35" ht="13.5" customHeight="1">
      <c r="A35" s="51"/>
      <c r="B35" s="54">
        <v>3300</v>
      </c>
      <c r="C35" s="55">
        <v>51.0306904761905</v>
      </c>
    </row>
    <row r="36" ht="13.5" customHeight="1">
      <c r="A36" s="51"/>
      <c r="B36" s="52">
        <v>3400</v>
      </c>
      <c r="C36" s="53">
        <v>51.0306904761905</v>
      </c>
    </row>
    <row r="37" ht="13.5" customHeight="1">
      <c r="A37" s="51"/>
      <c r="B37" s="54">
        <v>3500</v>
      </c>
      <c r="C37" s="55">
        <v>51.0306904761905</v>
      </c>
    </row>
    <row r="38" ht="13.5" customHeight="1">
      <c r="A38" s="51"/>
      <c r="B38" s="52">
        <v>3600</v>
      </c>
      <c r="C38" s="53">
        <v>51.0306904761905</v>
      </c>
    </row>
    <row r="39" ht="13.5" customHeight="1">
      <c r="A39" s="51"/>
      <c r="B39" s="54">
        <v>3700</v>
      </c>
      <c r="C39" s="56">
        <v>44.843689833269</v>
      </c>
    </row>
    <row r="40" ht="13.5" customHeight="1">
      <c r="A40" s="51"/>
      <c r="B40" s="52">
        <v>3800</v>
      </c>
      <c r="C40" s="53">
        <v>36.8215688218961</v>
      </c>
    </row>
    <row r="41" ht="13.5" customHeight="1">
      <c r="A41" s="51"/>
      <c r="B41" s="54">
        <v>3900</v>
      </c>
      <c r="C41" s="56">
        <v>30.062728824122</v>
      </c>
    </row>
    <row r="42" ht="13.5" customHeight="1">
      <c r="A42" s="51"/>
      <c r="B42" s="52">
        <v>4000</v>
      </c>
      <c r="C42" s="53">
        <v>25.3370743140982</v>
      </c>
    </row>
    <row r="43" ht="13.5" customHeight="1">
      <c r="A43" s="51"/>
      <c r="B43" s="54">
        <v>4100</v>
      </c>
      <c r="C43" s="55">
        <v>21.0374123095361</v>
      </c>
    </row>
    <row r="44" ht="13.5" customHeight="1">
      <c r="A44" s="51"/>
      <c r="B44" s="52">
        <v>4200</v>
      </c>
      <c r="C44" s="53">
        <v>17.0840324267782</v>
      </c>
    </row>
    <row r="45" ht="13.5" customHeight="1">
      <c r="A45" s="51"/>
      <c r="B45" s="54">
        <v>4300</v>
      </c>
      <c r="C45" s="55">
        <v>13.4184887499186</v>
      </c>
    </row>
    <row r="46" ht="13.5" customHeight="1">
      <c r="A46" s="51"/>
      <c r="B46" s="52">
        <v>4400</v>
      </c>
      <c r="C46" s="57">
        <v>9.995926848330519</v>
      </c>
    </row>
    <row r="47" ht="13.5" customHeight="1">
      <c r="A47" s="51"/>
      <c r="B47" s="54">
        <v>4500</v>
      </c>
      <c r="C47" s="58">
        <v>6.77696534591492</v>
      </c>
    </row>
    <row r="48" ht="13.5" customHeight="1">
      <c r="A48" s="59"/>
      <c r="B48" s="52">
        <v>4600</v>
      </c>
      <c r="C48" s="57">
        <v>3.73957484604455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E62"/>
  <sheetViews>
    <sheetView workbookViewId="0" showGridLines="0" defaultGridColor="1"/>
  </sheetViews>
  <sheetFormatPr defaultColWidth="8.83333" defaultRowHeight="14.45" customHeight="1" outlineLevelRow="0" outlineLevelCol="0"/>
  <cols>
    <col min="1" max="2" width="16.6719" style="60" customWidth="1"/>
    <col min="3" max="3" width="15.3516" style="60" customWidth="1"/>
    <col min="4" max="5" width="8.85156" style="60" customWidth="1"/>
    <col min="6" max="16384" width="8.85156" style="60" customWidth="1"/>
  </cols>
  <sheetData>
    <row r="1" ht="13.5" customHeight="1">
      <c r="A1" t="s" s="61">
        <v>94</v>
      </c>
      <c r="B1" t="s" s="61">
        <v>95</v>
      </c>
      <c r="C1" t="s" s="62">
        <v>96</v>
      </c>
      <c r="D1" s="63"/>
      <c r="E1" s="64"/>
    </row>
    <row r="2" ht="13.5" customHeight="1">
      <c r="A2" s="65">
        <v>0</v>
      </c>
      <c r="B2" s="66">
        <v>2.8</v>
      </c>
      <c r="C2" s="67">
        <v>0.09944444400000001</v>
      </c>
      <c r="D2" s="68"/>
      <c r="E2" s="69"/>
    </row>
    <row r="3" ht="13.5" customHeight="1">
      <c r="A3" s="65">
        <v>0.086281277</v>
      </c>
      <c r="B3" s="65">
        <v>2.8</v>
      </c>
      <c r="C3" s="70"/>
      <c r="D3" s="71"/>
      <c r="E3" s="72"/>
    </row>
    <row r="4" ht="13.5" customHeight="1">
      <c r="A4" s="65">
        <v>0.690250216</v>
      </c>
      <c r="B4" s="65">
        <v>2.833202358</v>
      </c>
      <c r="C4" s="73"/>
      <c r="D4" s="74"/>
      <c r="E4" s="75"/>
    </row>
    <row r="5" ht="13.5" customHeight="1">
      <c r="A5" s="65">
        <v>1.380500431</v>
      </c>
      <c r="B5" s="65">
        <v>2.868958743</v>
      </c>
      <c r="C5" s="73"/>
      <c r="D5" s="76"/>
      <c r="E5" s="77"/>
    </row>
    <row r="6" ht="13.5" customHeight="1">
      <c r="A6" s="65">
        <v>2.415875755</v>
      </c>
      <c r="B6" s="65">
        <v>2.914931238</v>
      </c>
      <c r="C6" s="73"/>
      <c r="D6" s="76"/>
      <c r="E6" s="77"/>
    </row>
    <row r="7" ht="13.5" customHeight="1">
      <c r="A7" s="65">
        <v>3.451251079</v>
      </c>
      <c r="B7" s="65">
        <v>2.966011788</v>
      </c>
      <c r="C7" s="73"/>
      <c r="D7" s="76"/>
      <c r="E7" s="77"/>
    </row>
    <row r="8" ht="13.5" customHeight="1">
      <c r="A8" s="65">
        <v>4.745470233</v>
      </c>
      <c r="B8" s="65">
        <v>3.01453831</v>
      </c>
      <c r="C8" s="73"/>
      <c r="D8" s="76"/>
      <c r="E8" s="77"/>
    </row>
    <row r="9" ht="13.5" customHeight="1">
      <c r="A9" s="65">
        <v>6.298533218</v>
      </c>
      <c r="B9" s="65">
        <v>3.057956778</v>
      </c>
      <c r="C9" s="73"/>
      <c r="D9" s="76"/>
      <c r="E9" s="77"/>
    </row>
    <row r="10" ht="13.5" customHeight="1">
      <c r="A10" s="65">
        <v>7.937877481</v>
      </c>
      <c r="B10" s="65">
        <v>3.098821218</v>
      </c>
      <c r="C10" s="73"/>
      <c r="D10" s="76"/>
      <c r="E10" s="77"/>
    </row>
    <row r="11" ht="13.5" customHeight="1">
      <c r="A11" s="65">
        <v>9.490940466</v>
      </c>
      <c r="B11" s="65">
        <v>3.144793713</v>
      </c>
      <c r="C11" s="73"/>
      <c r="D11" s="76"/>
      <c r="E11" s="77"/>
    </row>
    <row r="12" ht="13.5" customHeight="1">
      <c r="A12" s="65">
        <v>10.8714409</v>
      </c>
      <c r="B12" s="65">
        <v>3.180550098</v>
      </c>
      <c r="C12" s="73"/>
      <c r="D12" s="76"/>
      <c r="E12" s="77"/>
    </row>
    <row r="13" ht="13.5" customHeight="1">
      <c r="A13" s="65">
        <v>12.25194133</v>
      </c>
      <c r="B13" s="65">
        <v>3.216306483</v>
      </c>
      <c r="C13" s="73"/>
      <c r="D13" s="76"/>
      <c r="E13" s="77"/>
    </row>
    <row r="14" ht="13.5" customHeight="1">
      <c r="A14" s="65">
        <v>13.71872304</v>
      </c>
      <c r="B14" s="65">
        <v>3.249508841</v>
      </c>
      <c r="C14" s="73"/>
      <c r="D14" s="76"/>
      <c r="E14" s="77"/>
    </row>
    <row r="15" ht="13.5" customHeight="1">
      <c r="A15" s="65">
        <v>15.27178602</v>
      </c>
      <c r="B15" s="65">
        <v>3.282711198</v>
      </c>
      <c r="C15" s="73"/>
      <c r="D15" s="76"/>
      <c r="E15" s="77"/>
    </row>
    <row r="16" ht="13.5" customHeight="1">
      <c r="A16" s="65">
        <v>16.91113028</v>
      </c>
      <c r="B16" s="65">
        <v>3.313359528</v>
      </c>
      <c r="C16" s="73"/>
      <c r="D16" s="76"/>
      <c r="E16" s="77"/>
    </row>
    <row r="17" ht="13.5" customHeight="1">
      <c r="A17" s="65">
        <v>18.29163072</v>
      </c>
      <c r="B17" s="65">
        <v>3.333791749</v>
      </c>
      <c r="C17" s="78"/>
      <c r="D17" s="76"/>
      <c r="E17" s="77"/>
    </row>
    <row r="18" ht="13.5" customHeight="1">
      <c r="A18" s="65">
        <v>20.18981881</v>
      </c>
      <c r="B18" s="66">
        <v>3.359332024</v>
      </c>
      <c r="C18" s="79">
        <v>0.066666667</v>
      </c>
      <c r="D18" s="80"/>
      <c r="E18" s="77"/>
    </row>
    <row r="19" ht="13.5" customHeight="1">
      <c r="A19" s="65">
        <v>21.57031924</v>
      </c>
      <c r="B19" s="65">
        <v>3.382318271</v>
      </c>
      <c r="C19" s="70"/>
      <c r="D19" s="76"/>
      <c r="E19" s="77"/>
    </row>
    <row r="20" ht="13.5" customHeight="1">
      <c r="A20" s="65">
        <v>23.46850733</v>
      </c>
      <c r="B20" s="65">
        <v>3.395088409</v>
      </c>
      <c r="C20" s="73"/>
      <c r="D20" s="76"/>
      <c r="E20" s="77"/>
    </row>
    <row r="21" ht="13.5" customHeight="1">
      <c r="A21" s="65">
        <v>24.84900777</v>
      </c>
      <c r="B21" s="65">
        <v>3.412966601</v>
      </c>
      <c r="C21" s="73"/>
      <c r="D21" s="76"/>
      <c r="E21" s="77"/>
    </row>
    <row r="22" ht="13.5" customHeight="1">
      <c r="A22" s="65">
        <v>26.66091458</v>
      </c>
      <c r="B22" s="65">
        <v>3.428290766</v>
      </c>
      <c r="C22" s="73"/>
      <c r="D22" s="76"/>
      <c r="E22" s="77"/>
    </row>
    <row r="23" ht="13.5" customHeight="1">
      <c r="A23" s="65">
        <v>28.04141501</v>
      </c>
      <c r="B23" s="65">
        <v>3.441060904</v>
      </c>
      <c r="C23" s="73"/>
      <c r="D23" s="76"/>
      <c r="E23" s="77"/>
    </row>
    <row r="24" ht="13.5" customHeight="1">
      <c r="A24" s="65">
        <v>29.85332183</v>
      </c>
      <c r="B24" s="65">
        <v>3.458939096</v>
      </c>
      <c r="C24" s="73"/>
      <c r="D24" s="76"/>
      <c r="E24" s="77"/>
    </row>
    <row r="25" ht="13.5" customHeight="1">
      <c r="A25" s="65">
        <v>31.57894737</v>
      </c>
      <c r="B25" s="65">
        <v>3.476817289</v>
      </c>
      <c r="C25" s="73"/>
      <c r="D25" s="76"/>
      <c r="E25" s="77"/>
    </row>
    <row r="26" ht="13.5" customHeight="1">
      <c r="A26" s="65">
        <v>33.39085418</v>
      </c>
      <c r="B26" s="65">
        <v>3.492141454</v>
      </c>
      <c r="C26" s="73"/>
      <c r="D26" s="76"/>
      <c r="E26" s="77"/>
    </row>
    <row r="27" ht="13.5" customHeight="1">
      <c r="A27" s="65">
        <v>35.37532355</v>
      </c>
      <c r="B27" s="65">
        <v>3.507465619</v>
      </c>
      <c r="C27" s="73"/>
      <c r="D27" s="76"/>
      <c r="E27" s="77"/>
    </row>
    <row r="28" ht="13.5" customHeight="1">
      <c r="A28" s="65">
        <v>37.35979292</v>
      </c>
      <c r="B28" s="65">
        <v>3.522789784</v>
      </c>
      <c r="C28" s="73"/>
      <c r="D28" s="76"/>
      <c r="E28" s="77"/>
    </row>
    <row r="29" ht="13.5" customHeight="1">
      <c r="A29" s="65">
        <v>39.43054357</v>
      </c>
      <c r="B29" s="65">
        <v>3.538113949</v>
      </c>
      <c r="C29" s="78"/>
      <c r="D29" s="76"/>
      <c r="E29" s="77"/>
    </row>
    <row r="30" ht="13.5" customHeight="1">
      <c r="A30" s="65">
        <v>40.98360656</v>
      </c>
      <c r="B30" s="66">
        <v>3.561100196</v>
      </c>
      <c r="C30" s="79">
        <v>0.066111111</v>
      </c>
      <c r="D30" s="80"/>
      <c r="E30" s="77"/>
    </row>
    <row r="31" ht="13.5" customHeight="1">
      <c r="A31" s="65">
        <v>42.79551337</v>
      </c>
      <c r="B31" s="65">
        <v>3.573870334</v>
      </c>
      <c r="C31" s="70"/>
      <c r="D31" s="76"/>
      <c r="E31" s="77"/>
    </row>
    <row r="32" ht="13.5" customHeight="1">
      <c r="A32" s="65">
        <v>44.86626402</v>
      </c>
      <c r="B32" s="65">
        <v>3.594302554</v>
      </c>
      <c r="C32" s="73"/>
      <c r="D32" s="76"/>
      <c r="E32" s="77"/>
    </row>
    <row r="33" ht="13.5" customHeight="1">
      <c r="A33" s="65">
        <v>47.1958585</v>
      </c>
      <c r="B33" s="65">
        <v>3.619842829</v>
      </c>
      <c r="C33" s="73"/>
      <c r="D33" s="76"/>
      <c r="E33" s="77"/>
    </row>
    <row r="34" ht="13.5" customHeight="1">
      <c r="A34" s="65">
        <v>49.26660915</v>
      </c>
      <c r="B34" s="65">
        <v>3.642829077</v>
      </c>
      <c r="C34" s="73"/>
      <c r="D34" s="76"/>
      <c r="E34" s="77"/>
    </row>
    <row r="35" ht="13.5" customHeight="1">
      <c r="A35" s="65">
        <v>51.16479724</v>
      </c>
      <c r="B35" s="65">
        <v>3.660707269</v>
      </c>
      <c r="C35" s="73"/>
      <c r="D35" s="76"/>
      <c r="E35" s="77"/>
    </row>
    <row r="36" ht="13.5" customHeight="1">
      <c r="A36" s="65">
        <v>52.97670406</v>
      </c>
      <c r="B36" s="65">
        <v>3.673477407</v>
      </c>
      <c r="C36" s="73"/>
      <c r="D36" s="76"/>
      <c r="E36" s="77"/>
    </row>
    <row r="37" ht="13.5" customHeight="1">
      <c r="A37" s="65">
        <v>54.96117343</v>
      </c>
      <c r="B37" s="65">
        <v>3.691355599</v>
      </c>
      <c r="C37" s="73"/>
      <c r="D37" s="76"/>
      <c r="E37" s="77"/>
    </row>
    <row r="38" ht="13.5" customHeight="1">
      <c r="A38" s="65">
        <v>57.20448663</v>
      </c>
      <c r="B38" s="65">
        <v>3.714341847</v>
      </c>
      <c r="C38" s="78"/>
      <c r="D38" s="76"/>
      <c r="E38" s="77"/>
    </row>
    <row r="39" ht="13.5" customHeight="1">
      <c r="A39" s="65">
        <v>59.10267472</v>
      </c>
      <c r="B39" s="66">
        <v>3.732220039</v>
      </c>
      <c r="C39" s="79">
        <v>0.06277777800000001</v>
      </c>
      <c r="D39" s="80"/>
      <c r="E39" s="77"/>
    </row>
    <row r="40" ht="13.5" customHeight="1">
      <c r="A40" s="65">
        <v>61.00086281</v>
      </c>
      <c r="B40" s="65">
        <v>3.742436149</v>
      </c>
      <c r="C40" s="70"/>
      <c r="D40" s="76"/>
      <c r="E40" s="77"/>
    </row>
    <row r="41" ht="13.5" customHeight="1">
      <c r="A41" s="65">
        <v>63.24417601</v>
      </c>
      <c r="B41" s="65">
        <v>3.760314342</v>
      </c>
      <c r="C41" s="73"/>
      <c r="D41" s="76"/>
      <c r="E41" s="77"/>
    </row>
    <row r="42" ht="13.5" customHeight="1">
      <c r="A42" s="65">
        <v>65.05608282999999</v>
      </c>
      <c r="B42" s="65">
        <v>3.773084479</v>
      </c>
      <c r="C42" s="73"/>
      <c r="D42" s="76"/>
      <c r="E42" s="77"/>
    </row>
    <row r="43" ht="13.5" customHeight="1">
      <c r="A43" s="65">
        <v>66.86798965</v>
      </c>
      <c r="B43" s="65">
        <v>3.785854617</v>
      </c>
      <c r="C43" s="73"/>
      <c r="D43" s="76"/>
      <c r="E43" s="77"/>
    </row>
    <row r="44" ht="13.5" customHeight="1">
      <c r="A44" s="65">
        <v>68.50733391</v>
      </c>
      <c r="B44" s="65">
        <v>3.803732809</v>
      </c>
      <c r="C44" s="73"/>
      <c r="D44" s="76"/>
      <c r="E44" s="77"/>
    </row>
    <row r="45" ht="13.5" customHeight="1">
      <c r="A45" s="65">
        <v>70.31924072</v>
      </c>
      <c r="B45" s="65">
        <v>3.816502947</v>
      </c>
      <c r="C45" s="73"/>
      <c r="D45" s="76"/>
      <c r="E45" s="77"/>
    </row>
    <row r="46" ht="13.5" customHeight="1">
      <c r="A46" s="65">
        <v>71.78602243</v>
      </c>
      <c r="B46" s="65">
        <v>3.834381139</v>
      </c>
      <c r="C46" s="73"/>
      <c r="D46" s="76"/>
      <c r="E46" s="77"/>
    </row>
    <row r="47" ht="13.5" customHeight="1">
      <c r="A47" s="65">
        <v>73.33908542</v>
      </c>
      <c r="B47" s="65">
        <v>3.84459725</v>
      </c>
      <c r="C47" s="73"/>
      <c r="D47" s="76"/>
      <c r="E47" s="77"/>
    </row>
    <row r="48" ht="13.5" customHeight="1">
      <c r="A48" s="65">
        <v>74.8921484</v>
      </c>
      <c r="B48" s="65">
        <v>3.862475442</v>
      </c>
      <c r="C48" s="73"/>
      <c r="D48" s="76"/>
      <c r="E48" s="77"/>
    </row>
    <row r="49" ht="13.5" customHeight="1">
      <c r="A49" s="65">
        <v>76.44521139</v>
      </c>
      <c r="B49" s="65">
        <v>3.882907662</v>
      </c>
      <c r="C49" s="73"/>
      <c r="D49" s="76"/>
      <c r="E49" s="77"/>
    </row>
    <row r="50" ht="13.5" customHeight="1">
      <c r="A50" s="65">
        <v>77.99827437</v>
      </c>
      <c r="B50" s="65">
        <v>3.903339882</v>
      </c>
      <c r="C50" s="78"/>
      <c r="D50" s="76"/>
      <c r="E50" s="77"/>
    </row>
    <row r="51" ht="13.5" customHeight="1">
      <c r="A51" s="65">
        <v>79.63761864</v>
      </c>
      <c r="B51" s="66">
        <v>3.91611002</v>
      </c>
      <c r="C51" s="79">
        <v>0.058333333</v>
      </c>
      <c r="D51" s="80"/>
      <c r="E51" s="77"/>
    </row>
    <row r="52" ht="13.5" customHeight="1">
      <c r="A52" s="65">
        <v>81.79465055999999</v>
      </c>
      <c r="B52" s="65">
        <v>3.939096267</v>
      </c>
      <c r="C52" s="70"/>
      <c r="D52" s="76"/>
      <c r="E52" s="77"/>
    </row>
    <row r="53" ht="13.5" customHeight="1">
      <c r="A53" s="65">
        <v>83.60655738</v>
      </c>
      <c r="B53" s="65">
        <v>3.951866405</v>
      </c>
      <c r="C53" s="73"/>
      <c r="D53" s="76"/>
      <c r="E53" s="77"/>
    </row>
    <row r="54" ht="13.5" customHeight="1">
      <c r="A54" s="65">
        <v>85.41846418999999</v>
      </c>
      <c r="B54" s="65">
        <v>3.964636542</v>
      </c>
      <c r="C54" s="73"/>
      <c r="D54" s="76"/>
      <c r="E54" s="77"/>
    </row>
    <row r="55" ht="13.5" customHeight="1">
      <c r="A55" s="65">
        <v>87.66177739</v>
      </c>
      <c r="B55" s="65">
        <v>3.972298625</v>
      </c>
      <c r="C55" s="73"/>
      <c r="D55" s="76"/>
      <c r="E55" s="77"/>
    </row>
    <row r="56" ht="13.5" customHeight="1">
      <c r="A56" s="65">
        <v>89.38740292999999</v>
      </c>
      <c r="B56" s="65">
        <v>3.974852652</v>
      </c>
      <c r="C56" s="73"/>
      <c r="D56" s="76"/>
      <c r="E56" s="77"/>
    </row>
    <row r="57" ht="13.5" customHeight="1">
      <c r="A57" s="65">
        <v>91.11302847</v>
      </c>
      <c r="B57" s="65">
        <v>3.979960707</v>
      </c>
      <c r="C57" s="73"/>
      <c r="D57" s="76"/>
      <c r="E57" s="77"/>
    </row>
    <row r="58" ht="13.5" customHeight="1">
      <c r="A58" s="65">
        <v>92.92493528999999</v>
      </c>
      <c r="B58" s="65">
        <v>3.992730845</v>
      </c>
      <c r="C58" s="73"/>
      <c r="D58" s="76"/>
      <c r="E58" s="77"/>
    </row>
    <row r="59" ht="13.5" customHeight="1">
      <c r="A59" s="65">
        <v>94.56427954999999</v>
      </c>
      <c r="B59" s="65">
        <v>3.9978389</v>
      </c>
      <c r="C59" s="73"/>
      <c r="D59" s="76"/>
      <c r="E59" s="77"/>
    </row>
    <row r="60" ht="13.5" customHeight="1">
      <c r="A60" s="65">
        <v>96.28990509</v>
      </c>
      <c r="B60" s="65">
        <v>4.01827112</v>
      </c>
      <c r="C60" s="73"/>
      <c r="D60" s="76"/>
      <c r="E60" s="77"/>
    </row>
    <row r="61" ht="13.5" customHeight="1">
      <c r="A61" s="65">
        <v>97.7566868</v>
      </c>
      <c r="B61" s="65">
        <v>4.033595285</v>
      </c>
      <c r="C61" s="78"/>
      <c r="D61" s="76"/>
      <c r="E61" s="77"/>
    </row>
    <row r="62" ht="13.5" customHeight="1">
      <c r="A62" s="65">
        <v>99.05090595</v>
      </c>
      <c r="B62" s="66">
        <v>4.061689587</v>
      </c>
      <c r="C62" s="79">
        <v>0.058333333</v>
      </c>
      <c r="D62" s="68"/>
      <c r="E62" s="69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23"/>
  <sheetViews>
    <sheetView workbookViewId="0" showGridLines="0" defaultGridColor="1"/>
  </sheetViews>
  <sheetFormatPr defaultColWidth="16.3333" defaultRowHeight="15.4" customHeight="1" outlineLevelRow="0" outlineLevelCol="0"/>
  <cols>
    <col min="1" max="5" width="16.3516" style="81" customWidth="1"/>
    <col min="6" max="16384" width="16.3516" style="81" customWidth="1"/>
  </cols>
  <sheetData>
    <row r="1" ht="13.15" customHeight="1">
      <c r="A1" t="s" s="82">
        <v>6</v>
      </c>
      <c r="B1" t="s" s="82">
        <v>97</v>
      </c>
      <c r="C1" t="s" s="82">
        <v>98</v>
      </c>
      <c r="D1" t="s" s="82">
        <v>99</v>
      </c>
      <c r="E1" s="83"/>
    </row>
    <row r="2" ht="13.15" customHeight="1">
      <c r="A2" t="s" s="84">
        <v>100</v>
      </c>
      <c r="B2" s="85">
        <v>-184.907</v>
      </c>
      <c r="C2" s="86">
        <v>234.925</v>
      </c>
      <c r="D2" s="86">
        <v>126.241</v>
      </c>
      <c r="E2" s="87"/>
    </row>
    <row r="3" ht="12.95" customHeight="1">
      <c r="A3" t="s" s="88">
        <v>101</v>
      </c>
      <c r="B3" s="89">
        <v>182.434</v>
      </c>
      <c r="C3" s="90">
        <v>255.272</v>
      </c>
      <c r="D3" s="90">
        <v>126.239</v>
      </c>
      <c r="E3" s="87"/>
    </row>
    <row r="4" ht="12.95" customHeight="1">
      <c r="A4" t="s" s="88">
        <v>102</v>
      </c>
      <c r="B4" s="89">
        <v>-12</v>
      </c>
      <c r="C4" s="90">
        <v>588.501</v>
      </c>
      <c r="D4" s="90">
        <v>141</v>
      </c>
      <c r="E4" s="87"/>
    </row>
    <row r="5" ht="12.95" customHeight="1">
      <c r="A5" t="s" s="88">
        <v>103</v>
      </c>
      <c r="B5" s="89">
        <v>-132.944</v>
      </c>
      <c r="C5" s="90">
        <v>237.912</v>
      </c>
      <c r="D5" s="90">
        <v>326.532</v>
      </c>
      <c r="E5" s="87"/>
    </row>
    <row r="6" ht="12.95" customHeight="1">
      <c r="A6" t="s" s="88">
        <v>104</v>
      </c>
      <c r="B6" s="89">
        <v>167.448</v>
      </c>
      <c r="C6" s="90">
        <v>254.64</v>
      </c>
      <c r="D6" s="90">
        <v>307.812</v>
      </c>
      <c r="E6" s="87"/>
    </row>
    <row r="7" ht="12.95" customHeight="1">
      <c r="A7" t="s" s="88">
        <v>105</v>
      </c>
      <c r="B7" s="89">
        <v>12</v>
      </c>
      <c r="C7" s="90">
        <v>521</v>
      </c>
      <c r="D7" s="90">
        <v>370</v>
      </c>
      <c r="E7" s="87"/>
    </row>
    <row r="8" ht="12.95" customHeight="1">
      <c r="A8" t="s" s="88">
        <v>106</v>
      </c>
      <c r="B8" s="89">
        <v>0</v>
      </c>
      <c r="C8" s="90">
        <v>640</v>
      </c>
      <c r="D8" s="90">
        <v>250.827</v>
      </c>
      <c r="E8" s="87"/>
    </row>
    <row r="9" ht="12.95" customHeight="1">
      <c r="A9" t="s" s="88">
        <v>107</v>
      </c>
      <c r="B9" s="89">
        <v>0</v>
      </c>
      <c r="C9" s="90">
        <v>640</v>
      </c>
      <c r="D9" s="90">
        <v>250.827</v>
      </c>
      <c r="E9" s="87"/>
    </row>
    <row r="10" ht="12.95" customHeight="1">
      <c r="A10" t="s" s="88">
        <v>108</v>
      </c>
      <c r="B10" s="89">
        <v>-104.241</v>
      </c>
      <c r="C10" s="90">
        <v>250</v>
      </c>
      <c r="D10" s="90">
        <v>171.053</v>
      </c>
      <c r="E10" s="87"/>
    </row>
    <row r="11" ht="12.95" customHeight="1">
      <c r="A11" t="s" s="88">
        <v>109</v>
      </c>
      <c r="B11" s="89">
        <v>-86.252</v>
      </c>
      <c r="C11" s="90">
        <v>575.546</v>
      </c>
      <c r="D11" s="90">
        <v>195</v>
      </c>
      <c r="E11" s="87"/>
    </row>
    <row r="12" ht="12.95" customHeight="1">
      <c r="A12" t="s" s="88">
        <v>110</v>
      </c>
      <c r="B12" s="89">
        <v>-11.157</v>
      </c>
      <c r="C12" s="90">
        <v>233.131</v>
      </c>
      <c r="D12" s="90">
        <v>517.551</v>
      </c>
      <c r="E12" s="87"/>
    </row>
    <row r="13" ht="12.95" customHeight="1">
      <c r="A13" t="s" s="88">
        <v>111</v>
      </c>
      <c r="B13" s="89">
        <v>-11.485</v>
      </c>
      <c r="C13" s="90">
        <v>317.842</v>
      </c>
      <c r="D13" s="90">
        <v>362.43</v>
      </c>
      <c r="E13" s="87"/>
    </row>
    <row r="14" ht="12.95" customHeight="1">
      <c r="A14" t="s" s="88">
        <v>112</v>
      </c>
      <c r="B14" s="89">
        <v>67.965</v>
      </c>
      <c r="C14" s="90">
        <v>262.855</v>
      </c>
      <c r="D14" s="90">
        <v>101.35</v>
      </c>
      <c r="E14" s="87"/>
    </row>
    <row r="15" ht="12.95" customHeight="1">
      <c r="A15" t="s" s="88">
        <v>113</v>
      </c>
      <c r="B15" s="89">
        <v>-12.038</v>
      </c>
      <c r="C15" s="90">
        <v>262.849</v>
      </c>
      <c r="D15" s="90">
        <v>101.519</v>
      </c>
      <c r="E15" s="87"/>
    </row>
    <row r="16" ht="12.95" customHeight="1">
      <c r="A16" t="s" s="88">
        <v>114</v>
      </c>
      <c r="B16" s="89">
        <v>-11.531</v>
      </c>
      <c r="C16" s="90">
        <v>286.508</v>
      </c>
      <c r="D16" s="90">
        <v>331.062</v>
      </c>
      <c r="E16" s="87"/>
    </row>
    <row r="17" ht="12.95" customHeight="1">
      <c r="A17" t="s" s="88">
        <v>115</v>
      </c>
      <c r="B17" s="89">
        <v>-104.241</v>
      </c>
      <c r="C17" s="90">
        <v>0</v>
      </c>
      <c r="D17" s="90">
        <v>171.053</v>
      </c>
      <c r="E17" s="87"/>
    </row>
    <row r="18" ht="12.95" customHeight="1">
      <c r="A18" t="s" s="88">
        <v>116</v>
      </c>
      <c r="B18" s="89">
        <v>237.923</v>
      </c>
      <c r="C18" s="90">
        <v>0</v>
      </c>
      <c r="D18" s="90">
        <v>569.328</v>
      </c>
      <c r="E18" s="87"/>
    </row>
    <row r="19" ht="12.95" customHeight="1">
      <c r="A19" t="s" s="88">
        <v>117</v>
      </c>
      <c r="B19" s="89">
        <v>-104.241</v>
      </c>
      <c r="C19" s="90">
        <v>0</v>
      </c>
      <c r="D19" s="90">
        <v>171.053</v>
      </c>
      <c r="E19" s="87"/>
    </row>
    <row r="20" ht="12.95" customHeight="1">
      <c r="A20" t="s" s="88">
        <v>118</v>
      </c>
      <c r="B20" s="89">
        <v>20</v>
      </c>
      <c r="C20" s="90">
        <v>0</v>
      </c>
      <c r="D20" s="90">
        <v>534.181</v>
      </c>
      <c r="E20" s="87"/>
    </row>
    <row r="21" ht="12.95" customHeight="1">
      <c r="A21" t="s" s="88">
        <v>119</v>
      </c>
      <c r="B21" s="89">
        <v>-11.558</v>
      </c>
      <c r="C21" s="90">
        <v>244.431</v>
      </c>
      <c r="D21" s="90">
        <v>328.198</v>
      </c>
      <c r="E21" s="87"/>
    </row>
    <row r="22" ht="12.95" customHeight="1">
      <c r="A22" t="s" s="88">
        <v>120</v>
      </c>
      <c r="B22" s="89">
        <v>-11.917</v>
      </c>
      <c r="C22" s="90">
        <v>547.36</v>
      </c>
      <c r="D22" s="90">
        <v>169.145</v>
      </c>
      <c r="E22" s="87"/>
    </row>
    <row r="23" ht="12.95" customHeight="1">
      <c r="A23" t="s" s="88">
        <v>121</v>
      </c>
      <c r="B23" s="89">
        <v>-11.489</v>
      </c>
      <c r="C23" s="90">
        <v>351.537</v>
      </c>
      <c r="D23" s="90">
        <v>360.943</v>
      </c>
      <c r="E23" s="9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9"/>
  <sheetViews>
    <sheetView workbookViewId="0" showGridLines="0" defaultGridColor="1"/>
  </sheetViews>
  <sheetFormatPr defaultColWidth="16.3333" defaultRowHeight="15.4" customHeight="1" outlineLevelRow="0" outlineLevelCol="0"/>
  <cols>
    <col min="1" max="5" width="16.3516" style="92" customWidth="1"/>
    <col min="6" max="16384" width="16.3516" style="92" customWidth="1"/>
  </cols>
  <sheetData>
    <row r="1" ht="13.15" customHeight="1">
      <c r="A1" t="s" s="82">
        <v>6</v>
      </c>
      <c r="B1" t="s" s="82">
        <v>97</v>
      </c>
      <c r="C1" t="s" s="82">
        <v>98</v>
      </c>
      <c r="D1" t="s" s="82">
        <v>99</v>
      </c>
      <c r="E1" s="83"/>
    </row>
    <row r="2" ht="13.15" customHeight="1">
      <c r="A2" t="s" s="84">
        <v>100</v>
      </c>
      <c r="B2" s="85" cm="1">
        <f t="array" ref="B2">1408.851-1575</f>
        <v>-166.149</v>
      </c>
      <c r="C2" s="86">
        <v>334.489</v>
      </c>
      <c r="D2" s="86">
        <v>126.216</v>
      </c>
      <c r="E2" s="87"/>
    </row>
    <row r="3" ht="12.95" customHeight="1">
      <c r="A3" t="s" s="88">
        <v>101</v>
      </c>
      <c r="B3" s="89" cm="1">
        <f t="array" ref="B3">1799.859-1575</f>
        <v>224.859</v>
      </c>
      <c r="C3" s="90">
        <v>309.894</v>
      </c>
      <c r="D3" s="90">
        <v>126.188</v>
      </c>
      <c r="E3" s="87"/>
    </row>
    <row r="4" ht="12.95" customHeight="1">
      <c r="A4" t="s" s="88">
        <v>102</v>
      </c>
      <c r="B4" s="89" cm="1">
        <f t="array" ref="B4">1579.278-1575</f>
        <v>4.278</v>
      </c>
      <c r="C4" s="90">
        <v>574</v>
      </c>
      <c r="D4" s="90">
        <v>132.5</v>
      </c>
      <c r="E4" s="87"/>
    </row>
    <row r="5" ht="12.95" customHeight="1">
      <c r="A5" t="s" s="88">
        <v>103</v>
      </c>
      <c r="B5" s="89" cm="1">
        <f t="array" ref="B5">1412.858-1575</f>
        <v>-162.142</v>
      </c>
      <c r="C5" s="90">
        <v>330.769</v>
      </c>
      <c r="D5" s="90">
        <v>335.182</v>
      </c>
      <c r="E5" s="87"/>
    </row>
    <row r="6" ht="12.95" customHeight="1">
      <c r="A6" t="s" s="88">
        <v>104</v>
      </c>
      <c r="B6" s="89" cm="1">
        <f t="array" ref="B6">1804.308-1575</f>
        <v>229.308</v>
      </c>
      <c r="C6" s="90">
        <v>293.653</v>
      </c>
      <c r="D6" s="90">
        <v>356.806</v>
      </c>
      <c r="E6" s="87"/>
    </row>
    <row r="7" ht="12.95" customHeight="1">
      <c r="A7" t="s" s="88">
        <v>105</v>
      </c>
      <c r="B7" s="89" cm="1">
        <f t="array" ref="B7">1570.705-1575</f>
        <v>-4.295</v>
      </c>
      <c r="C7" s="90">
        <v>508.715</v>
      </c>
      <c r="D7" s="90">
        <v>378</v>
      </c>
      <c r="E7" s="87"/>
    </row>
    <row r="8" ht="12.95" customHeight="1">
      <c r="A8" t="s" s="88">
        <v>106</v>
      </c>
      <c r="B8" s="89" cm="1">
        <f t="array" ref="B8">1575-1575</f>
        <v>0</v>
      </c>
      <c r="C8" s="90">
        <v>625</v>
      </c>
      <c r="D8" s="90">
        <v>250.827</v>
      </c>
      <c r="E8" s="87"/>
    </row>
    <row r="9" ht="12.95" customHeight="1">
      <c r="A9" t="s" s="88">
        <v>107</v>
      </c>
      <c r="B9" s="89" cm="1">
        <f t="array" ref="B9">-1575+1575</f>
        <v>0</v>
      </c>
      <c r="C9" s="90">
        <v>625</v>
      </c>
      <c r="D9" s="90">
        <v>250.827</v>
      </c>
      <c r="E9" s="87"/>
    </row>
    <row r="10" ht="12.95" customHeight="1">
      <c r="A10" t="s" s="88">
        <v>108</v>
      </c>
      <c r="B10" s="89" cm="1">
        <f t="array" ref="B10">-1575+1832.113</f>
        <v>257.113</v>
      </c>
      <c r="C10" s="90">
        <v>301.223</v>
      </c>
      <c r="D10" s="90">
        <v>194.314</v>
      </c>
      <c r="E10" s="87"/>
    </row>
    <row r="11" ht="12.95" customHeight="1">
      <c r="A11" t="s" s="88">
        <v>109</v>
      </c>
      <c r="B11" s="89" cm="1">
        <f t="array" ref="B11">-1575+1676.222</f>
        <v>101.222</v>
      </c>
      <c r="C11" s="90">
        <v>578</v>
      </c>
      <c r="D11" s="90">
        <v>220</v>
      </c>
      <c r="E11" s="87"/>
    </row>
    <row r="12" ht="12.95" customHeight="1">
      <c r="A12" t="s" s="88">
        <v>110</v>
      </c>
      <c r="B12" s="89">
        <v>-180.976</v>
      </c>
      <c r="C12" s="90">
        <v>283.39</v>
      </c>
      <c r="D12" s="90">
        <v>436.103</v>
      </c>
      <c r="E12" s="87"/>
    </row>
    <row r="13" ht="12.95" customHeight="1">
      <c r="A13" t="s" s="88">
        <v>111</v>
      </c>
      <c r="B13" s="89" cm="1">
        <f t="array" ref="B13">-1575+1579.111</f>
        <v>4.111</v>
      </c>
      <c r="C13" s="90">
        <v>267.073</v>
      </c>
      <c r="D13" s="90">
        <v>484.01</v>
      </c>
      <c r="E13" s="87"/>
    </row>
    <row r="14" ht="12.95" customHeight="1">
      <c r="A14" t="s" s="88">
        <v>112</v>
      </c>
      <c r="B14" s="89" cm="1">
        <f t="array" ref="B14">-1575+1830</f>
        <v>255</v>
      </c>
      <c r="C14" s="90">
        <v>305</v>
      </c>
      <c r="D14" s="90">
        <v>401.35</v>
      </c>
      <c r="E14" s="87"/>
    </row>
    <row r="15" ht="12.95" customHeight="1">
      <c r="A15" t="s" s="88">
        <v>113</v>
      </c>
      <c r="B15" s="89" cm="1">
        <f t="array" ref="B15">-1575+1830</f>
        <v>255</v>
      </c>
      <c r="C15" s="90">
        <v>305</v>
      </c>
      <c r="D15" s="90">
        <v>480.697</v>
      </c>
      <c r="E15" s="87"/>
    </row>
    <row r="16" ht="12.95" customHeight="1">
      <c r="A16" t="s" s="88">
        <v>114</v>
      </c>
      <c r="B16" s="89" cm="1">
        <f t="array" ref="B16">-1575+1625</f>
        <v>50</v>
      </c>
      <c r="C16" s="90">
        <v>287.567</v>
      </c>
      <c r="D16" s="90">
        <v>463.988</v>
      </c>
      <c r="E16" s="87"/>
    </row>
    <row r="17" ht="12.95" customHeight="1">
      <c r="A17" t="s" s="88">
        <v>119</v>
      </c>
      <c r="B17" s="89">
        <v>10.771</v>
      </c>
      <c r="C17" s="90">
        <v>318.427</v>
      </c>
      <c r="D17" s="90">
        <v>426.36</v>
      </c>
      <c r="E17" s="87"/>
    </row>
    <row r="18" ht="12.95" customHeight="1">
      <c r="A18" t="s" s="88">
        <v>120</v>
      </c>
      <c r="B18" s="89">
        <v>22.298</v>
      </c>
      <c r="C18" s="90">
        <v>527.859</v>
      </c>
      <c r="D18" s="90">
        <v>152.504</v>
      </c>
      <c r="E18" s="87"/>
    </row>
    <row r="19" ht="12.95" customHeight="1">
      <c r="A19" t="s" s="88">
        <v>121</v>
      </c>
      <c r="B19" s="89">
        <v>89.61199999999999</v>
      </c>
      <c r="C19" s="90">
        <v>349.047</v>
      </c>
      <c r="D19" s="90">
        <v>403.924</v>
      </c>
      <c r="E19" s="9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6.3333" defaultRowHeight="15.4" customHeight="1" outlineLevelRow="0" outlineLevelCol="0"/>
  <cols>
    <col min="1" max="1" width="13.3516" style="93" customWidth="1"/>
    <col min="2" max="5" width="16.3516" style="93" customWidth="1"/>
    <col min="6" max="16384" width="16.3516" style="93" customWidth="1"/>
  </cols>
  <sheetData>
    <row r="1" ht="13.15" customHeight="1">
      <c r="A1" t="s" s="94">
        <v>122</v>
      </c>
      <c r="B1" t="s" s="94">
        <v>123</v>
      </c>
      <c r="C1" t="s" s="94">
        <v>124</v>
      </c>
      <c r="D1" s="95"/>
      <c r="E1" s="75"/>
    </row>
    <row r="2" ht="13.15" customHeight="1">
      <c r="A2" t="s" s="96">
        <v>125</v>
      </c>
      <c r="B2" s="97">
        <v>52538.0505</v>
      </c>
      <c r="C2" s="98">
        <v>43781.70875</v>
      </c>
      <c r="D2" s="80"/>
      <c r="E2" s="77"/>
    </row>
    <row r="3" ht="12.95" customHeight="1">
      <c r="A3" t="s" s="99">
        <v>126</v>
      </c>
      <c r="B3" s="100">
        <v>0.01</v>
      </c>
      <c r="C3" s="101">
        <v>0.01</v>
      </c>
      <c r="D3" s="80"/>
      <c r="E3" s="77"/>
    </row>
    <row r="4" ht="12.95" customHeight="1">
      <c r="A4" t="s" s="99">
        <v>127</v>
      </c>
      <c r="B4" s="100">
        <v>250000</v>
      </c>
      <c r="C4" s="101">
        <v>250000</v>
      </c>
      <c r="D4" s="80"/>
      <c r="E4" s="77"/>
    </row>
    <row r="5" ht="12.95" customHeight="1">
      <c r="A5" t="s" s="99">
        <v>128</v>
      </c>
      <c r="B5" s="102">
        <v>81.93300000000001</v>
      </c>
      <c r="C5" s="103">
        <v>61.8794</v>
      </c>
      <c r="D5" s="80"/>
      <c r="E5" s="77"/>
    </row>
    <row r="6" ht="13.55" customHeight="1">
      <c r="A6" s="70"/>
      <c r="B6" s="104"/>
      <c r="C6" s="104"/>
      <c r="D6" s="76"/>
      <c r="E6" s="77"/>
    </row>
    <row r="7" ht="13.55" customHeight="1">
      <c r="A7" s="73"/>
      <c r="B7" s="76"/>
      <c r="C7" s="76"/>
      <c r="D7" s="76"/>
      <c r="E7" s="77"/>
    </row>
    <row r="8" ht="13.55" customHeight="1">
      <c r="A8" s="73"/>
      <c r="B8" s="76"/>
      <c r="C8" s="76"/>
      <c r="D8" s="76"/>
      <c r="E8" s="77"/>
    </row>
    <row r="9" ht="13.55" customHeight="1">
      <c r="A9" s="73"/>
      <c r="B9" s="76"/>
      <c r="C9" s="76"/>
      <c r="D9" s="76"/>
      <c r="E9" s="77"/>
    </row>
    <row r="10" ht="13.55" customHeight="1">
      <c r="A10" s="105"/>
      <c r="B10" s="106"/>
      <c r="C10" s="106"/>
      <c r="D10" s="106"/>
      <c r="E10" s="6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